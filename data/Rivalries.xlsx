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n\Desktop\Documents\Sports Modeling Analysis Fantasy and Betting\Basketball\"/>
    </mc:Choice>
  </mc:AlternateContent>
  <xr:revisionPtr revIDLastSave="0" documentId="13_ncr:1_{3B5AC37A-DF13-450E-BF2D-2858D5DD5569}" xr6:coauthVersionLast="47" xr6:coauthVersionMax="47" xr10:uidLastSave="{00000000-0000-0000-0000-000000000000}"/>
  <bookViews>
    <workbookView xWindow="-120" yWindow="-120" windowWidth="29040" windowHeight="15840" activeTab="1" xr2:uid="{71EE54C8-ABD5-43DE-A5E2-36BFA30AEEE3}"/>
  </bookViews>
  <sheets>
    <sheet name="Processing" sheetId="1" r:id="rId1"/>
    <sheet name="Final" sheetId="2" r:id="rId2"/>
  </sheets>
  <calcPr calcId="18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0" i="1" l="1"/>
  <c r="P90" i="1" s="1"/>
  <c r="Q90" i="1"/>
  <c r="N90" i="1"/>
  <c r="O89" i="1"/>
  <c r="P89" i="1"/>
  <c r="Q89" i="1"/>
  <c r="N89" i="1"/>
  <c r="O88" i="1"/>
  <c r="P88" i="1" s="1"/>
  <c r="N88" i="1"/>
  <c r="O87" i="1"/>
  <c r="P87" i="1" s="1"/>
  <c r="N87" i="1"/>
  <c r="O86" i="1"/>
  <c r="P86" i="1" s="1"/>
  <c r="N86" i="1"/>
  <c r="O85" i="1"/>
  <c r="P85" i="1" s="1"/>
  <c r="N85" i="1"/>
  <c r="O84" i="1"/>
  <c r="P84" i="1" s="1"/>
  <c r="N84" i="1"/>
  <c r="O83" i="1"/>
  <c r="P83" i="1" s="1"/>
  <c r="N83" i="1"/>
  <c r="O82" i="1"/>
  <c r="P82" i="1" s="1"/>
  <c r="N82" i="1"/>
  <c r="O81" i="1"/>
  <c r="P81" i="1" s="1"/>
  <c r="N81" i="1"/>
  <c r="O80" i="1"/>
  <c r="P80" i="1" s="1"/>
  <c r="N80" i="1"/>
  <c r="O79" i="1"/>
  <c r="P79" i="1" s="1"/>
  <c r="N79" i="1"/>
  <c r="O78" i="1"/>
  <c r="P78" i="1" s="1"/>
  <c r="N78" i="1"/>
  <c r="O77" i="1"/>
  <c r="P77" i="1" s="1"/>
  <c r="N77" i="1"/>
  <c r="O76" i="1"/>
  <c r="P76" i="1" s="1"/>
  <c r="N76" i="1"/>
  <c r="O75" i="1"/>
  <c r="P75" i="1" s="1"/>
  <c r="N75" i="1"/>
  <c r="O74" i="1"/>
  <c r="P74" i="1" s="1"/>
  <c r="N74" i="1"/>
  <c r="O73" i="1"/>
  <c r="P73" i="1" s="1"/>
  <c r="N73" i="1"/>
  <c r="O72" i="1"/>
  <c r="P72" i="1" s="1"/>
  <c r="N72" i="1"/>
  <c r="O71" i="1"/>
  <c r="P71" i="1" s="1"/>
  <c r="N71" i="1"/>
  <c r="O70" i="1"/>
  <c r="P70" i="1" s="1"/>
  <c r="N70" i="1"/>
  <c r="O69" i="1"/>
  <c r="P69" i="1" s="1"/>
  <c r="N69" i="1"/>
  <c r="O68" i="1"/>
  <c r="P68" i="1" s="1"/>
  <c r="N68" i="1"/>
  <c r="O67" i="1"/>
  <c r="P67" i="1" s="1"/>
  <c r="N67" i="1"/>
  <c r="O66" i="1"/>
  <c r="P66" i="1" s="1"/>
  <c r="N66" i="1"/>
  <c r="O65" i="1"/>
  <c r="P65" i="1" s="1"/>
  <c r="N65" i="1"/>
  <c r="O64" i="1"/>
  <c r="P64" i="1" s="1"/>
  <c r="N64" i="1"/>
  <c r="O63" i="1"/>
  <c r="P63" i="1" s="1"/>
  <c r="N63" i="1"/>
  <c r="O62" i="1"/>
  <c r="P62" i="1" s="1"/>
  <c r="N62" i="1"/>
  <c r="O61" i="1"/>
  <c r="P61" i="1" s="1"/>
  <c r="N61" i="1"/>
  <c r="O60" i="1"/>
  <c r="P60" i="1" s="1"/>
  <c r="N60" i="1"/>
  <c r="O59" i="1"/>
  <c r="P59" i="1" s="1"/>
  <c r="N59" i="1"/>
  <c r="O58" i="1"/>
  <c r="P58" i="1" s="1"/>
  <c r="N58" i="1"/>
  <c r="O57" i="1"/>
  <c r="P57" i="1" s="1"/>
  <c r="N57" i="1"/>
  <c r="O56" i="1"/>
  <c r="P56" i="1" s="1"/>
  <c r="N56" i="1"/>
  <c r="O55" i="1"/>
  <c r="P55" i="1" s="1"/>
  <c r="N55" i="1"/>
  <c r="O54" i="1"/>
  <c r="P54" i="1" s="1"/>
  <c r="N54" i="1"/>
  <c r="O53" i="1"/>
  <c r="P53" i="1" s="1"/>
  <c r="N53" i="1"/>
  <c r="O52" i="1"/>
  <c r="P52" i="1" s="1"/>
  <c r="N52" i="1"/>
  <c r="O51" i="1"/>
  <c r="P51" i="1" s="1"/>
  <c r="N51" i="1"/>
  <c r="O50" i="1"/>
  <c r="P50" i="1" s="1"/>
  <c r="N50" i="1"/>
  <c r="O49" i="1"/>
  <c r="P49" i="1" s="1"/>
  <c r="N49" i="1"/>
  <c r="O48" i="1"/>
  <c r="P48" i="1" s="1"/>
  <c r="N48" i="1"/>
  <c r="O47" i="1"/>
  <c r="P47" i="1" s="1"/>
  <c r="N47" i="1"/>
  <c r="O46" i="1"/>
  <c r="P46" i="1" s="1"/>
  <c r="N46" i="1"/>
  <c r="O45" i="1"/>
  <c r="P45" i="1" s="1"/>
  <c r="N45" i="1"/>
  <c r="O44" i="1"/>
  <c r="N44" i="1"/>
  <c r="Q44" i="1" s="1"/>
  <c r="O43" i="1"/>
  <c r="P43" i="1" s="1"/>
  <c r="N43" i="1"/>
  <c r="O42" i="1"/>
  <c r="P42" i="1" s="1"/>
  <c r="N42" i="1"/>
  <c r="O41" i="1"/>
  <c r="P41" i="1" s="1"/>
  <c r="N41" i="1"/>
  <c r="O40" i="1"/>
  <c r="P40" i="1" s="1"/>
  <c r="N40" i="1"/>
  <c r="O39" i="1"/>
  <c r="P39" i="1" s="1"/>
  <c r="N39" i="1"/>
  <c r="O38" i="1"/>
  <c r="P38" i="1" s="1"/>
  <c r="N38" i="1"/>
  <c r="O37" i="1"/>
  <c r="P37" i="1" s="1"/>
  <c r="N37" i="1"/>
  <c r="O36" i="1"/>
  <c r="P36" i="1" s="1"/>
  <c r="N36" i="1"/>
  <c r="O35" i="1"/>
  <c r="P35" i="1" s="1"/>
  <c r="N35" i="1"/>
  <c r="O34" i="1"/>
  <c r="P34" i="1" s="1"/>
  <c r="N34" i="1"/>
  <c r="O33" i="1"/>
  <c r="P33" i="1" s="1"/>
  <c r="N33" i="1"/>
  <c r="O32" i="1"/>
  <c r="P32" i="1" s="1"/>
  <c r="N32" i="1"/>
  <c r="O31" i="1"/>
  <c r="P31" i="1" s="1"/>
  <c r="N31" i="1"/>
  <c r="O30" i="1"/>
  <c r="P30" i="1" s="1"/>
  <c r="N30" i="1"/>
  <c r="O29" i="1"/>
  <c r="P29" i="1" s="1"/>
  <c r="N29" i="1"/>
  <c r="O28" i="1"/>
  <c r="P28" i="1" s="1"/>
  <c r="N28" i="1"/>
  <c r="O27" i="1"/>
  <c r="P27" i="1" s="1"/>
  <c r="N27" i="1"/>
  <c r="O26" i="1"/>
  <c r="P26" i="1" s="1"/>
  <c r="N26" i="1"/>
  <c r="O25" i="1"/>
  <c r="P25" i="1" s="1"/>
  <c r="N25" i="1"/>
  <c r="O24" i="1"/>
  <c r="P24" i="1" s="1"/>
  <c r="N24" i="1"/>
  <c r="O23" i="1"/>
  <c r="P23" i="1" s="1"/>
  <c r="N23" i="1"/>
  <c r="O22" i="1"/>
  <c r="P22" i="1" s="1"/>
  <c r="N22" i="1"/>
  <c r="O21" i="1"/>
  <c r="P21" i="1" s="1"/>
  <c r="N21" i="1"/>
  <c r="O20" i="1"/>
  <c r="P20" i="1" s="1"/>
  <c r="N20" i="1"/>
  <c r="O19" i="1"/>
  <c r="P19" i="1" s="1"/>
  <c r="N19" i="1"/>
  <c r="O18" i="1"/>
  <c r="P18" i="1" s="1"/>
  <c r="N18" i="1"/>
  <c r="O17" i="1"/>
  <c r="P17" i="1" s="1"/>
  <c r="N17" i="1"/>
  <c r="O16" i="1"/>
  <c r="P16" i="1" s="1"/>
  <c r="N16" i="1"/>
  <c r="O15" i="1"/>
  <c r="P15" i="1" s="1"/>
  <c r="N15" i="1"/>
  <c r="O14" i="1"/>
  <c r="P14" i="1" s="1"/>
  <c r="N14" i="1"/>
  <c r="O13" i="1"/>
  <c r="P13" i="1" s="1"/>
  <c r="N13" i="1"/>
  <c r="O12" i="1"/>
  <c r="P12" i="1" s="1"/>
  <c r="N12" i="1"/>
  <c r="O11" i="1"/>
  <c r="P11" i="1"/>
  <c r="Q11" i="1"/>
  <c r="N11" i="1"/>
  <c r="O10" i="1"/>
  <c r="P10" i="1" s="1"/>
  <c r="N10" i="1"/>
  <c r="O9" i="1"/>
  <c r="P9" i="1" s="1"/>
  <c r="N9" i="1"/>
  <c r="O8" i="1"/>
  <c r="P8" i="1" s="1"/>
  <c r="N8" i="1"/>
  <c r="O7" i="1"/>
  <c r="P7" i="1" s="1"/>
  <c r="N7" i="1"/>
  <c r="O6" i="1"/>
  <c r="P6" i="1" s="1"/>
  <c r="N6" i="1"/>
  <c r="Q5" i="1"/>
  <c r="Q4" i="1"/>
  <c r="Q3" i="1"/>
  <c r="Q2" i="1"/>
  <c r="P5" i="1"/>
  <c r="P4" i="1"/>
  <c r="P3" i="1"/>
  <c r="P2" i="1"/>
  <c r="O5" i="1"/>
  <c r="N5" i="1"/>
  <c r="O4" i="1"/>
  <c r="N4" i="1"/>
  <c r="O3" i="1"/>
  <c r="N3" i="1"/>
  <c r="O2" i="1"/>
  <c r="N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Q88" i="1" l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P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0" i="1"/>
  <c r="Q9" i="1"/>
  <c r="Q8" i="1"/>
  <c r="Q7" i="1"/>
  <c r="Q6" i="1"/>
</calcChain>
</file>

<file path=xl/sharedStrings.xml><?xml version="1.0" encoding="utf-8"?>
<sst xmlns="http://schemas.openxmlformats.org/spreadsheetml/2006/main" count="880" uniqueCount="291">
  <si>
    <t>id</t>
  </si>
  <si>
    <t>full_name</t>
  </si>
  <si>
    <t>abbreviation</t>
  </si>
  <si>
    <t>nickname</t>
  </si>
  <si>
    <t>city</t>
  </si>
  <si>
    <t>state</t>
  </si>
  <si>
    <t>year_founded</t>
  </si>
  <si>
    <t>Atlanta Hawks</t>
  </si>
  <si>
    <t>ATL</t>
  </si>
  <si>
    <t>Hawks</t>
  </si>
  <si>
    <t>Atlanta</t>
  </si>
  <si>
    <t>Georgia</t>
  </si>
  <si>
    <t>Boston Celtics</t>
  </si>
  <si>
    <t>BOS</t>
  </si>
  <si>
    <t>Celtics</t>
  </si>
  <si>
    <t>Boston</t>
  </si>
  <si>
    <t>Massachusetts</t>
  </si>
  <si>
    <t>Cleveland Cavaliers</t>
  </si>
  <si>
    <t>CLE</t>
  </si>
  <si>
    <t>Cavaliers</t>
  </si>
  <si>
    <t>Cleveland</t>
  </si>
  <si>
    <t>Ohio</t>
  </si>
  <si>
    <t>New Orleans Pelicans</t>
  </si>
  <si>
    <t>NOP</t>
  </si>
  <si>
    <t>Pelicans</t>
  </si>
  <si>
    <t>New Orleans</t>
  </si>
  <si>
    <t>Louisiana</t>
  </si>
  <si>
    <t>Chicago Bulls</t>
  </si>
  <si>
    <t>CHI</t>
  </si>
  <si>
    <t>Bulls</t>
  </si>
  <si>
    <t>Chicago</t>
  </si>
  <si>
    <t>Illinois</t>
  </si>
  <si>
    <t>Dallas Mavericks</t>
  </si>
  <si>
    <t>DAL</t>
  </si>
  <si>
    <t>Mavericks</t>
  </si>
  <si>
    <t>Dallas</t>
  </si>
  <si>
    <t>Texas</t>
  </si>
  <si>
    <t>Denver Nuggets</t>
  </si>
  <si>
    <t>DEN</t>
  </si>
  <si>
    <t>Nuggets</t>
  </si>
  <si>
    <t>Denver</t>
  </si>
  <si>
    <t>Colorado</t>
  </si>
  <si>
    <t>Golden State Warriors</t>
  </si>
  <si>
    <t>GSW</t>
  </si>
  <si>
    <t>Warriors</t>
  </si>
  <si>
    <t>Golden State</t>
  </si>
  <si>
    <t>California</t>
  </si>
  <si>
    <t>Houston Rockets</t>
  </si>
  <si>
    <t>HOU</t>
  </si>
  <si>
    <t>Rockets</t>
  </si>
  <si>
    <t>Houston</t>
  </si>
  <si>
    <t>Los Angeles Clippers</t>
  </si>
  <si>
    <t>LAC</t>
  </si>
  <si>
    <t>Clippers</t>
  </si>
  <si>
    <t>Los Angeles</t>
  </si>
  <si>
    <t>Los Angeles Lakers</t>
  </si>
  <si>
    <t>LAL</t>
  </si>
  <si>
    <t>Lakers</t>
  </si>
  <si>
    <t>Miami Heat</t>
  </si>
  <si>
    <t>MIA</t>
  </si>
  <si>
    <t>Heat</t>
  </si>
  <si>
    <t>Miami</t>
  </si>
  <si>
    <t>Florida</t>
  </si>
  <si>
    <t>Milwaukee Bucks</t>
  </si>
  <si>
    <t>MIL</t>
  </si>
  <si>
    <t>Bucks</t>
  </si>
  <si>
    <t>Milwaukee</t>
  </si>
  <si>
    <t>Wisconsin</t>
  </si>
  <si>
    <t>Minnesota Timberwolves</t>
  </si>
  <si>
    <t>MIN</t>
  </si>
  <si>
    <t>Timberwolves</t>
  </si>
  <si>
    <t>Minnesota</t>
  </si>
  <si>
    <t>Brooklyn Nets</t>
  </si>
  <si>
    <t>BKN</t>
  </si>
  <si>
    <t>Nets</t>
  </si>
  <si>
    <t>Brooklyn</t>
  </si>
  <si>
    <t>New York</t>
  </si>
  <si>
    <t>New York Knicks</t>
  </si>
  <si>
    <t>NYK</t>
  </si>
  <si>
    <t>Knicks</t>
  </si>
  <si>
    <t>Orlando Magic</t>
  </si>
  <si>
    <t>ORL</t>
  </si>
  <si>
    <t>Magic</t>
  </si>
  <si>
    <t>Orlando</t>
  </si>
  <si>
    <t>Indiana Pacers</t>
  </si>
  <si>
    <t>IND</t>
  </si>
  <si>
    <t>Pacers</t>
  </si>
  <si>
    <t>Indiana</t>
  </si>
  <si>
    <t>Philadelphia 76ers</t>
  </si>
  <si>
    <t>PHI</t>
  </si>
  <si>
    <t>76ers</t>
  </si>
  <si>
    <t>Philadelphia</t>
  </si>
  <si>
    <t>Pennsylvania</t>
  </si>
  <si>
    <t>Phoenix Suns</t>
  </si>
  <si>
    <t>PHX</t>
  </si>
  <si>
    <t>Suns</t>
  </si>
  <si>
    <t>Phoenix</t>
  </si>
  <si>
    <t>Arizona</t>
  </si>
  <si>
    <t>Portland Trail Blazers</t>
  </si>
  <si>
    <t>POR</t>
  </si>
  <si>
    <t>Trail Blazers</t>
  </si>
  <si>
    <t>Portland</t>
  </si>
  <si>
    <t>Oregon</t>
  </si>
  <si>
    <t>Sacramento Kings</t>
  </si>
  <si>
    <t>SAC</t>
  </si>
  <si>
    <t>Kings</t>
  </si>
  <si>
    <t>Sacramento</t>
  </si>
  <si>
    <t>San Antonio Spurs</t>
  </si>
  <si>
    <t>SAS</t>
  </si>
  <si>
    <t>Spurs</t>
  </si>
  <si>
    <t>San Antonio</t>
  </si>
  <si>
    <t>Oklahoma City Thunder</t>
  </si>
  <si>
    <t>OKC</t>
  </si>
  <si>
    <t>Thunder</t>
  </si>
  <si>
    <t>Oklahoma City</t>
  </si>
  <si>
    <t>Oklahoma</t>
  </si>
  <si>
    <t>Toronto Raptors</t>
  </si>
  <si>
    <t>TOR</t>
  </si>
  <si>
    <t>Raptors</t>
  </si>
  <si>
    <t>Toronto</t>
  </si>
  <si>
    <t>Ontario</t>
  </si>
  <si>
    <t>Utah Jazz</t>
  </si>
  <si>
    <t>UTA</t>
  </si>
  <si>
    <t>Jazz</t>
  </si>
  <si>
    <t>Utah</t>
  </si>
  <si>
    <t>Memphis Grizzlies</t>
  </si>
  <si>
    <t>MEM</t>
  </si>
  <si>
    <t>Grizzlies</t>
  </si>
  <si>
    <t>Memphis</t>
  </si>
  <si>
    <t>Tennessee</t>
  </si>
  <si>
    <t>Washington Wizards</t>
  </si>
  <si>
    <t>WAS</t>
  </si>
  <si>
    <t>Wizards</t>
  </si>
  <si>
    <t>Washington</t>
  </si>
  <si>
    <t>District of Columbia</t>
  </si>
  <si>
    <t>Detroit Pistons</t>
  </si>
  <si>
    <t>DET</t>
  </si>
  <si>
    <t>Pistons</t>
  </si>
  <si>
    <t>Detroit</t>
  </si>
  <si>
    <t>Michigan</t>
  </si>
  <si>
    <t>Charlotte Hornets</t>
  </si>
  <si>
    <t>CHA</t>
  </si>
  <si>
    <t>Hornets</t>
  </si>
  <si>
    <t>Charlotte</t>
  </si>
  <si>
    <t>North Carolina</t>
  </si>
  <si>
    <t>https://drive.google.com/file/d/1_MrZJlriTr70xBzXvpxBiCy1q_b7D5Ac/view</t>
  </si>
  <si>
    <t>https://www.reddit.com/r/nba/comments/11fe4za/oc_polling_the_nba_subreddits_2023_results/</t>
  </si>
  <si>
    <t>From</t>
  </si>
  <si>
    <t>To</t>
  </si>
  <si>
    <t>FID</t>
  </si>
  <si>
    <t>TID</t>
  </si>
  <si>
    <t>Combine</t>
  </si>
  <si>
    <t>Alternate</t>
  </si>
  <si>
    <t>Source</t>
  </si>
  <si>
    <t>Reddit</t>
  </si>
  <si>
    <t>16106127451610612762</t>
  </si>
  <si>
    <t>16106127451610612744</t>
  </si>
  <si>
    <t>16106127451610612760</t>
  </si>
  <si>
    <t>16106127451610612742</t>
  </si>
  <si>
    <t>16106127661610612737</t>
  </si>
  <si>
    <t>16106127661610612748</t>
  </si>
  <si>
    <t>16106127471610612738</t>
  </si>
  <si>
    <t>16106127471610612746</t>
  </si>
  <si>
    <t>16106127611610612755</t>
  </si>
  <si>
    <t>16106127611610612738</t>
  </si>
  <si>
    <t>16106127651610612741</t>
  </si>
  <si>
    <t>16106127651610612753</t>
  </si>
  <si>
    <t>16106127651610612754</t>
  </si>
  <si>
    <t>16106127651610612745</t>
  </si>
  <si>
    <t>16106127641610612738</t>
  </si>
  <si>
    <t>16106127641610612755</t>
  </si>
  <si>
    <t>16106127371610612752</t>
  </si>
  <si>
    <t>16106127371610612748</t>
  </si>
  <si>
    <t>16106127371610612738</t>
  </si>
  <si>
    <t>16106127411610612749</t>
  </si>
  <si>
    <t>16106127411610612752</t>
  </si>
  <si>
    <t>16106127441610612763</t>
  </si>
  <si>
    <t>16106127441610612738</t>
  </si>
  <si>
    <t>16106127441610612747</t>
  </si>
  <si>
    <t>16106127441610612756</t>
  </si>
  <si>
    <t>16106127421610612746</t>
  </si>
  <si>
    <t>16106127421610612756</t>
  </si>
  <si>
    <t>16106127421610612759</t>
  </si>
  <si>
    <t>16106127571610612743</t>
  </si>
  <si>
    <t>16106127571610612747</t>
  </si>
  <si>
    <t>16106127481610612738</t>
  </si>
  <si>
    <t>16106127481610612749</t>
  </si>
  <si>
    <t>16106127461610612747</t>
  </si>
  <si>
    <t>16106127461610612742</t>
  </si>
  <si>
    <t>16106127501610612763</t>
  </si>
  <si>
    <t>16106127501610612743</t>
  </si>
  <si>
    <t>16106127561610612742</t>
  </si>
  <si>
    <t>16106127561610612747</t>
  </si>
  <si>
    <t>16106127561610612740</t>
  </si>
  <si>
    <t>16106127591610612747</t>
  </si>
  <si>
    <t>16106127591610612745</t>
  </si>
  <si>
    <t>16106127591610612742</t>
  </si>
  <si>
    <t>16106127511610612738</t>
  </si>
  <si>
    <t>16106127511610612755</t>
  </si>
  <si>
    <t>16106127511610612752</t>
  </si>
  <si>
    <t>16106127401610612756</t>
  </si>
  <si>
    <t>16106127401610612763</t>
  </si>
  <si>
    <t>16106127401610612747</t>
  </si>
  <si>
    <t>16106127521610612751</t>
  </si>
  <si>
    <t>16106127521610612738</t>
  </si>
  <si>
    <t>16106127521610612737</t>
  </si>
  <si>
    <t>16106127521610612748</t>
  </si>
  <si>
    <t>16106127631610612744</t>
  </si>
  <si>
    <t>16106127631610612740</t>
  </si>
  <si>
    <t>16106127631610612750</t>
  </si>
  <si>
    <t>16106127531610612748</t>
  </si>
  <si>
    <t>16106127531610612761</t>
  </si>
  <si>
    <t>16106127531610612738</t>
  </si>
  <si>
    <t>16106127391610612744</t>
  </si>
  <si>
    <t>16106127391610612761</t>
  </si>
  <si>
    <t>16106127391610612738</t>
  </si>
  <si>
    <t>16106127391610612749</t>
  </si>
  <si>
    <t>16106127541610612748</t>
  </si>
  <si>
    <t>16106127541610612752</t>
  </si>
  <si>
    <t>16106127541610612765</t>
  </si>
  <si>
    <t>16106127541610612741</t>
  </si>
  <si>
    <t>16106127621610612743</t>
  </si>
  <si>
    <t>16106127621610612745</t>
  </si>
  <si>
    <t>16106127621610612747</t>
  </si>
  <si>
    <t>16106127621610612741</t>
  </si>
  <si>
    <t>16106127551610612738</t>
  </si>
  <si>
    <t>16106127551610612751</t>
  </si>
  <si>
    <t>16106127551610612761</t>
  </si>
  <si>
    <t>16106127491610612738</t>
  </si>
  <si>
    <t>16106127491610612741</t>
  </si>
  <si>
    <t>16106127491610612748</t>
  </si>
  <si>
    <t>16106127381610612747</t>
  </si>
  <si>
    <t>16106127381610612749</t>
  </si>
  <si>
    <t>16106127381610612744</t>
  </si>
  <si>
    <t>16106127381610612755</t>
  </si>
  <si>
    <t>16106127601610612745</t>
  </si>
  <si>
    <t>16106127601610612744</t>
  </si>
  <si>
    <t>16106127581610612747</t>
  </si>
  <si>
    <t>16106127581610612744</t>
  </si>
  <si>
    <t>16106127431610612757</t>
  </si>
  <si>
    <t>16106127431610612747</t>
  </si>
  <si>
    <t>16106127431610612755</t>
  </si>
  <si>
    <t>16106127431610612756</t>
  </si>
  <si>
    <t>16106127431610612762</t>
  </si>
  <si>
    <t>16106127441610612745</t>
  </si>
  <si>
    <t>16106127421610612745</t>
  </si>
  <si>
    <t>16106127371610612766</t>
  </si>
  <si>
    <t>16106127481610612766</t>
  </si>
  <si>
    <t>16106127381610612761</t>
  </si>
  <si>
    <t>16106127411610612765</t>
  </si>
  <si>
    <t>16106127531610612765</t>
  </si>
  <si>
    <t>16106127451610612765</t>
  </si>
  <si>
    <t>16106127381610612764</t>
  </si>
  <si>
    <t>16106127551610612764</t>
  </si>
  <si>
    <t>16106127481610612737</t>
  </si>
  <si>
    <t>16106127381610612737</t>
  </si>
  <si>
    <t>16106127521610612741</t>
  </si>
  <si>
    <t>16106127471610612744</t>
  </si>
  <si>
    <t>16106127561610612744</t>
  </si>
  <si>
    <t>16106127471610612757</t>
  </si>
  <si>
    <t>16106127381610612748</t>
  </si>
  <si>
    <t>16106127431610612750</t>
  </si>
  <si>
    <t>16106127471610612756</t>
  </si>
  <si>
    <t>16106127471610612759</t>
  </si>
  <si>
    <t>16106127451610612759</t>
  </si>
  <si>
    <t>16106127381610612751</t>
  </si>
  <si>
    <t>16106127471610612740</t>
  </si>
  <si>
    <t>16106127381610612752</t>
  </si>
  <si>
    <t>16106127481610612752</t>
  </si>
  <si>
    <t>16106127481610612753</t>
  </si>
  <si>
    <t>16106127611610612753</t>
  </si>
  <si>
    <t>16106127381610612753</t>
  </si>
  <si>
    <t>16106127441610612739</t>
  </si>
  <si>
    <t>16106127611610612739</t>
  </si>
  <si>
    <t>16106127381610612739</t>
  </si>
  <si>
    <t>16106127491610612739</t>
  </si>
  <si>
    <t>16106127481610612754</t>
  </si>
  <si>
    <t>16106127521610612754</t>
  </si>
  <si>
    <t>16106127411610612754</t>
  </si>
  <si>
    <t>16106127471610612762</t>
  </si>
  <si>
    <t>16106127411610612762</t>
  </si>
  <si>
    <t>16106127441610612760</t>
  </si>
  <si>
    <t>16106127471610612758</t>
  </si>
  <si>
    <t>16106127441610612758</t>
  </si>
  <si>
    <t>16106127471610612743</t>
  </si>
  <si>
    <t>16106127551610612743</t>
  </si>
  <si>
    <t>16106127561610612743</t>
  </si>
  <si>
    <t>List</t>
  </si>
  <si>
    <t>Row Labels</t>
  </si>
  <si>
    <t>Grand Total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</si>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</sst>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" refreshedDate="45852.752089699075" createdVersion="8" refreshedVersion="8" minRefreshableVersion="3" recordCount="178" xr:uid="{43034440-601B-4178-9784-1A9E5638506C}">
  <cacheSource type="worksheet">
    <worksheetSource ref="AE1:AE179" sheet="Processing"/>
  </cacheSource>
  <cacheFields count="1">
    <cacheField name="List" numFmtId="0">
      <sharedItems count="132">
        <s v="16106127451610612762"/>
        <s v="16106127451610612744"/>
        <s v="16106127451610612760"/>
        <s v="16106127451610612742"/>
        <s v="16106127661610612737"/>
        <s v="16106127661610612748"/>
        <s v="16106127471610612738"/>
        <s v="16106127471610612746"/>
        <s v="16106127611610612755"/>
        <s v="16106127611610612738"/>
        <s v="16106127651610612741"/>
        <s v="16106127651610612753"/>
        <s v="16106127651610612754"/>
        <s v="16106127651610612745"/>
        <s v="16106127641610612738"/>
        <s v="16106127641610612755"/>
        <s v="16106127371610612752"/>
        <s v="16106127371610612748"/>
        <s v="16106127371610612738"/>
        <s v="16106127411610612749"/>
        <s v="16106127411610612752"/>
        <s v="16106127441610612763"/>
        <s v="16106127441610612738"/>
        <s v="16106127441610612747"/>
        <s v="16106127441610612756"/>
        <s v="16106127421610612746"/>
        <s v="16106127421610612756"/>
        <s v="16106127421610612759"/>
        <s v="16106127571610612743"/>
        <s v="16106127571610612747"/>
        <s v="16106127481610612738"/>
        <s v="16106127481610612749"/>
        <s v="16106127461610612747"/>
        <s v="16106127461610612742"/>
        <s v="16106127501610612763"/>
        <s v="16106127501610612743"/>
        <s v="16106127561610612742"/>
        <s v="16106127561610612747"/>
        <s v="16106127561610612740"/>
        <s v="16106127591610612747"/>
        <s v="16106127591610612745"/>
        <s v="16106127591610612742"/>
        <s v="16106127511610612738"/>
        <s v="16106127511610612755"/>
        <s v="16106127511610612752"/>
        <s v="16106127401610612756"/>
        <s v="16106127401610612763"/>
        <s v="16106127401610612747"/>
        <s v="16106127521610612751"/>
        <s v="16106127521610612738"/>
        <s v="16106127521610612737"/>
        <s v="16106127521610612748"/>
        <s v="16106127631610612744"/>
        <s v="16106127631610612740"/>
        <s v="16106127631610612750"/>
        <s v="16106127531610612748"/>
        <s v="16106127531610612761"/>
        <s v="16106127531610612738"/>
        <s v="16106127391610612744"/>
        <s v="16106127391610612761"/>
        <s v="16106127391610612738"/>
        <s v="16106127391610612749"/>
        <s v="16106127541610612748"/>
        <s v="16106127541610612752"/>
        <s v="16106127541610612765"/>
        <s v="16106127541610612741"/>
        <s v="16106127621610612743"/>
        <s v="16106127621610612745"/>
        <s v="16106127621610612747"/>
        <s v="16106127621610612741"/>
        <s v="16106127551610612738"/>
        <s v="16106127551610612751"/>
        <s v="16106127551610612761"/>
        <s v="16106127491610612738"/>
        <s v="16106127491610612741"/>
        <s v="16106127491610612748"/>
        <s v="16106127381610612747"/>
        <s v="16106127381610612749"/>
        <s v="16106127381610612744"/>
        <s v="16106127381610612755"/>
        <s v="16106127601610612745"/>
        <s v="16106127601610612744"/>
        <s v="16106127581610612747"/>
        <s v="16106127581610612744"/>
        <s v="16106127431610612757"/>
        <s v="16106127431610612747"/>
        <s v="16106127431610612755"/>
        <s v="16106127431610612756"/>
        <s v="16106127431610612762"/>
        <s v="16106127441610612745"/>
        <s v="16106127421610612745"/>
        <s v="16106127371610612766"/>
        <s v="16106127481610612766"/>
        <s v="16106127381610612761"/>
        <s v="16106127411610612765"/>
        <s v="16106127531610612765"/>
        <s v="16106127451610612765"/>
        <s v="16106127381610612764"/>
        <s v="16106127551610612764"/>
        <s v="16106127481610612737"/>
        <s v="16106127381610612737"/>
        <s v="16106127521610612741"/>
        <s v="16106127471610612744"/>
        <s v="16106127561610612744"/>
        <s v="16106127471610612757"/>
        <s v="16106127381610612748"/>
        <s v="16106127431610612750"/>
        <s v="16106127471610612756"/>
        <s v="16106127471610612759"/>
        <s v="16106127451610612759"/>
        <s v="16106127381610612751"/>
        <s v="16106127471610612740"/>
        <s v="16106127381610612752"/>
        <s v="16106127481610612752"/>
        <s v="16106127481610612753"/>
        <s v="16106127611610612753"/>
        <s v="16106127381610612753"/>
        <s v="16106127441610612739"/>
        <s v="16106127611610612739"/>
        <s v="16106127381610612739"/>
        <s v="16106127491610612739"/>
        <s v="16106127481610612754"/>
        <s v="16106127521610612754"/>
        <s v="16106127411610612754"/>
        <s v="16106127471610612762"/>
        <s v="16106127411610612762"/>
        <s v="16106127441610612760"/>
        <s v="16106127471610612758"/>
        <s v="16106127441610612758"/>
        <s v="16106127471610612743"/>
        <s v="16106127551610612743"/>
        <s v="1610612756161061274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67"/>
  </r>
  <r>
    <x v="89"/>
  </r>
  <r>
    <x v="80"/>
  </r>
  <r>
    <x v="90"/>
  </r>
  <r>
    <x v="91"/>
  </r>
  <r>
    <x v="92"/>
  </r>
  <r>
    <x v="76"/>
  </r>
  <r>
    <x v="32"/>
  </r>
  <r>
    <x v="72"/>
  </r>
  <r>
    <x v="93"/>
  </r>
  <r>
    <x v="94"/>
  </r>
  <r>
    <x v="95"/>
  </r>
  <r>
    <x v="64"/>
  </r>
  <r>
    <x v="96"/>
  </r>
  <r>
    <x v="97"/>
  </r>
  <r>
    <x v="98"/>
  </r>
  <r>
    <x v="50"/>
  </r>
  <r>
    <x v="99"/>
  </r>
  <r>
    <x v="100"/>
  </r>
  <r>
    <x v="74"/>
  </r>
  <r>
    <x v="101"/>
  </r>
  <r>
    <x v="52"/>
  </r>
  <r>
    <x v="78"/>
  </r>
  <r>
    <x v="102"/>
  </r>
  <r>
    <x v="103"/>
  </r>
  <r>
    <x v="33"/>
  </r>
  <r>
    <x v="36"/>
  </r>
  <r>
    <x v="41"/>
  </r>
  <r>
    <x v="84"/>
  </r>
  <r>
    <x v="104"/>
  </r>
  <r>
    <x v="105"/>
  </r>
  <r>
    <x v="75"/>
  </r>
  <r>
    <x v="7"/>
  </r>
  <r>
    <x v="25"/>
  </r>
  <r>
    <x v="54"/>
  </r>
  <r>
    <x v="106"/>
  </r>
  <r>
    <x v="26"/>
  </r>
  <r>
    <x v="107"/>
  </r>
  <r>
    <x v="45"/>
  </r>
  <r>
    <x v="108"/>
  </r>
  <r>
    <x v="109"/>
  </r>
  <r>
    <x v="27"/>
  </r>
  <r>
    <x v="110"/>
  </r>
  <r>
    <x v="71"/>
  </r>
  <r>
    <x v="48"/>
  </r>
  <r>
    <x v="38"/>
  </r>
  <r>
    <x v="53"/>
  </r>
  <r>
    <x v="111"/>
  </r>
  <r>
    <x v="44"/>
  </r>
  <r>
    <x v="112"/>
  </r>
  <r>
    <x v="16"/>
  </r>
  <r>
    <x v="113"/>
  </r>
  <r>
    <x v="21"/>
  </r>
  <r>
    <x v="46"/>
  </r>
  <r>
    <x v="34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"/>
  </r>
  <r>
    <x v="123"/>
  </r>
  <r>
    <x v="88"/>
  </r>
  <r>
    <x v="0"/>
  </r>
  <r>
    <x v="124"/>
  </r>
  <r>
    <x v="125"/>
  </r>
  <r>
    <x v="79"/>
  </r>
  <r>
    <x v="43"/>
  </r>
  <r>
    <x v="8"/>
  </r>
  <r>
    <x v="77"/>
  </r>
  <r>
    <x v="19"/>
  </r>
  <r>
    <x v="31"/>
  </r>
  <r>
    <x v="6"/>
  </r>
  <r>
    <x v="73"/>
  </r>
  <r>
    <x v="22"/>
  </r>
  <r>
    <x v="70"/>
  </r>
  <r>
    <x v="2"/>
  </r>
  <r>
    <x v="126"/>
  </r>
  <r>
    <x v="127"/>
  </r>
  <r>
    <x v="128"/>
  </r>
  <r>
    <x v="28"/>
  </r>
  <r>
    <x v="129"/>
  </r>
  <r>
    <x v="130"/>
  </r>
  <r>
    <x v="131"/>
  </r>
  <r>
    <x v="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EBF28-54B6-4BAB-B483-488EC23D8E2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H1:AH134" firstHeaderRow="1" firstDataRow="1" firstDataCol="1"/>
  <pivotFields count="1">
    <pivotField axis="axisRow" showAll="0">
      <items count="133">
        <item x="18"/>
        <item x="17"/>
        <item x="16"/>
        <item x="91"/>
        <item x="100"/>
        <item x="119"/>
        <item x="78"/>
        <item x="76"/>
        <item x="105"/>
        <item x="77"/>
        <item x="110"/>
        <item x="112"/>
        <item x="116"/>
        <item x="79"/>
        <item x="93"/>
        <item x="97"/>
        <item x="60"/>
        <item x="58"/>
        <item x="61"/>
        <item x="59"/>
        <item x="47"/>
        <item x="45"/>
        <item x="46"/>
        <item x="19"/>
        <item x="20"/>
        <item x="123"/>
        <item x="125"/>
        <item x="94"/>
        <item x="90"/>
        <item x="25"/>
        <item x="26"/>
        <item x="27"/>
        <item x="85"/>
        <item x="106"/>
        <item x="86"/>
        <item x="87"/>
        <item x="84"/>
        <item x="88"/>
        <item x="22"/>
        <item x="117"/>
        <item x="89"/>
        <item x="23"/>
        <item x="24"/>
        <item x="128"/>
        <item x="126"/>
        <item x="21"/>
        <item x="3"/>
        <item x="1"/>
        <item x="109"/>
        <item x="2"/>
        <item x="0"/>
        <item x="96"/>
        <item x="33"/>
        <item x="32"/>
        <item x="6"/>
        <item x="111"/>
        <item x="129"/>
        <item x="102"/>
        <item x="7"/>
        <item x="107"/>
        <item x="104"/>
        <item x="127"/>
        <item x="108"/>
        <item x="124"/>
        <item x="99"/>
        <item x="30"/>
        <item x="31"/>
        <item x="113"/>
        <item x="114"/>
        <item x="121"/>
        <item x="92"/>
        <item x="73"/>
        <item x="120"/>
        <item x="74"/>
        <item x="75"/>
        <item x="35"/>
        <item x="34"/>
        <item x="42"/>
        <item x="44"/>
        <item x="43"/>
        <item x="50"/>
        <item x="49"/>
        <item x="101"/>
        <item x="51"/>
        <item x="48"/>
        <item x="122"/>
        <item x="57"/>
        <item x="55"/>
        <item x="56"/>
        <item x="95"/>
        <item x="65"/>
        <item x="62"/>
        <item x="63"/>
        <item x="64"/>
        <item x="70"/>
        <item x="130"/>
        <item x="71"/>
        <item x="72"/>
        <item x="98"/>
        <item x="38"/>
        <item x="36"/>
        <item x="131"/>
        <item x="103"/>
        <item x="37"/>
        <item x="28"/>
        <item x="29"/>
        <item x="83"/>
        <item x="82"/>
        <item x="41"/>
        <item x="40"/>
        <item x="39"/>
        <item x="81"/>
        <item x="80"/>
        <item x="9"/>
        <item x="118"/>
        <item x="115"/>
        <item x="8"/>
        <item x="69"/>
        <item x="66"/>
        <item x="67"/>
        <item x="68"/>
        <item x="53"/>
        <item x="52"/>
        <item x="54"/>
        <item x="14"/>
        <item x="15"/>
        <item x="10"/>
        <item x="13"/>
        <item x="11"/>
        <item x="12"/>
        <item x="4"/>
        <item x="5"/>
        <item t="default"/>
      </items>
    </pivotField>
  </pivotFields>
  <rowFields count="1">
    <field x="0"/>
  </rowFields>
  <rowItems count="1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EBAB-4003-4CB8-B10C-38CD7F0D8ADF}">
  <dimension ref="A1:AH179"/>
  <sheetViews>
    <sheetView topLeftCell="P97" workbookViewId="0">
      <selection activeCell="AH2" sqref="AH2:AH133"/>
    </sheetView>
  </sheetViews>
  <sheetFormatPr defaultRowHeight="15" x14ac:dyDescent="0.25"/>
  <cols>
    <col min="1" max="1" width="3" bestFit="1" customWidth="1"/>
    <col min="2" max="2" width="11" bestFit="1" customWidth="1"/>
    <col min="3" max="3" width="23.85546875" bestFit="1" customWidth="1"/>
    <col min="4" max="4" width="12.28515625" bestFit="1" customWidth="1"/>
    <col min="5" max="5" width="13.7109375" bestFit="1" customWidth="1"/>
    <col min="6" max="6" width="14" bestFit="1" customWidth="1"/>
    <col min="7" max="7" width="18.7109375" bestFit="1" customWidth="1"/>
    <col min="8" max="8" width="13.5703125" bestFit="1" customWidth="1"/>
    <col min="9" max="9" width="13.5703125" customWidth="1"/>
    <col min="14" max="15" width="11" bestFit="1" customWidth="1"/>
    <col min="16" max="17" width="21.42578125" bestFit="1" customWidth="1"/>
    <col min="34" max="34" width="21.42578125" bestFit="1" customWidth="1"/>
  </cols>
  <sheetData>
    <row r="1" spans="1:3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0</v>
      </c>
      <c r="K1" t="s">
        <v>153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T1" t="s">
        <v>145</v>
      </c>
      <c r="AE1" t="s">
        <v>287</v>
      </c>
      <c r="AH1" s="1" t="s">
        <v>288</v>
      </c>
    </row>
    <row r="2" spans="1:34" x14ac:dyDescent="0.25">
      <c r="A2">
        <v>0</v>
      </c>
      <c r="B2">
        <v>1610612737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>
        <v>1949</v>
      </c>
      <c r="I2">
        <f>B2</f>
        <v>1610612737</v>
      </c>
      <c r="K2" t="s">
        <v>154</v>
      </c>
      <c r="L2" t="s">
        <v>48</v>
      </c>
      <c r="M2" t="s">
        <v>122</v>
      </c>
      <c r="N2">
        <f>VLOOKUP(L2,$D$2:$I$31,6,FALSE)</f>
        <v>1610612745</v>
      </c>
      <c r="O2">
        <f>VLOOKUP(M2,$D$2:$I$31,6,FALSE)</f>
        <v>1610612762</v>
      </c>
      <c r="P2" t="str">
        <f>N2&amp;O2</f>
        <v>16106127451610612762</v>
      </c>
      <c r="Q2" t="str">
        <f>O2&amp;N2</f>
        <v>16106127621610612745</v>
      </c>
      <c r="T2" t="s">
        <v>146</v>
      </c>
      <c r="AE2" t="s">
        <v>155</v>
      </c>
      <c r="AH2" s="2" t="s">
        <v>173</v>
      </c>
    </row>
    <row r="3" spans="1:34" x14ac:dyDescent="0.25">
      <c r="A3">
        <v>1</v>
      </c>
      <c r="B3">
        <v>1610612738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>
        <v>1946</v>
      </c>
      <c r="I3">
        <f t="shared" ref="I3:I31" si="0">B3</f>
        <v>1610612738</v>
      </c>
      <c r="K3" t="s">
        <v>154</v>
      </c>
      <c r="L3" t="s">
        <v>48</v>
      </c>
      <c r="M3" t="s">
        <v>43</v>
      </c>
      <c r="N3">
        <f t="shared" ref="N3:N90" si="1">VLOOKUP(L3,$D$2:$I$31,6,FALSE)</f>
        <v>1610612745</v>
      </c>
      <c r="O3">
        <f t="shared" ref="O3:O90" si="2">VLOOKUP(M3,$D$2:$I$31,6,FALSE)</f>
        <v>1610612744</v>
      </c>
      <c r="P3" t="str">
        <f>N3&amp;O3</f>
        <v>16106127451610612744</v>
      </c>
      <c r="Q3" t="str">
        <f t="shared" ref="Q3:Q90" si="3">O3&amp;N3</f>
        <v>16106127441610612745</v>
      </c>
      <c r="AE3" t="s">
        <v>156</v>
      </c>
      <c r="AH3" s="2" t="s">
        <v>172</v>
      </c>
    </row>
    <row r="4" spans="1:34" x14ac:dyDescent="0.25">
      <c r="A4">
        <v>2</v>
      </c>
      <c r="B4">
        <v>1610612739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1970</v>
      </c>
      <c r="I4">
        <f t="shared" si="0"/>
        <v>1610612739</v>
      </c>
      <c r="K4" t="s">
        <v>154</v>
      </c>
      <c r="L4" t="s">
        <v>48</v>
      </c>
      <c r="M4" t="s">
        <v>112</v>
      </c>
      <c r="N4">
        <f t="shared" si="1"/>
        <v>1610612745</v>
      </c>
      <c r="O4">
        <f t="shared" si="2"/>
        <v>1610612760</v>
      </c>
      <c r="P4" t="str">
        <f>N4&amp;O4</f>
        <v>16106127451610612760</v>
      </c>
      <c r="Q4" t="str">
        <f t="shared" si="3"/>
        <v>16106127601610612745</v>
      </c>
      <c r="AE4" t="s">
        <v>157</v>
      </c>
      <c r="AH4" s="2" t="s">
        <v>171</v>
      </c>
    </row>
    <row r="5" spans="1:34" x14ac:dyDescent="0.25">
      <c r="A5">
        <v>3</v>
      </c>
      <c r="B5">
        <v>1610612740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2002</v>
      </c>
      <c r="I5">
        <f t="shared" si="0"/>
        <v>1610612740</v>
      </c>
      <c r="K5" t="s">
        <v>154</v>
      </c>
      <c r="L5" t="s">
        <v>48</v>
      </c>
      <c r="M5" t="s">
        <v>33</v>
      </c>
      <c r="N5">
        <f t="shared" si="1"/>
        <v>1610612745</v>
      </c>
      <c r="O5">
        <f t="shared" si="2"/>
        <v>1610612742</v>
      </c>
      <c r="P5" t="str">
        <f>N5&amp;O5</f>
        <v>16106127451610612742</v>
      </c>
      <c r="Q5" t="str">
        <f t="shared" si="3"/>
        <v>16106127421610612745</v>
      </c>
      <c r="AE5" t="s">
        <v>158</v>
      </c>
      <c r="AH5" s="2" t="s">
        <v>246</v>
      </c>
    </row>
    <row r="6" spans="1:34" x14ac:dyDescent="0.25">
      <c r="A6">
        <v>4</v>
      </c>
      <c r="B6">
        <v>1610612741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>
        <v>1966</v>
      </c>
      <c r="I6">
        <f t="shared" si="0"/>
        <v>1610612741</v>
      </c>
      <c r="K6" t="s">
        <v>154</v>
      </c>
      <c r="L6" t="s">
        <v>141</v>
      </c>
      <c r="M6" t="s">
        <v>8</v>
      </c>
      <c r="N6">
        <f t="shared" si="1"/>
        <v>1610612766</v>
      </c>
      <c r="O6">
        <f t="shared" si="2"/>
        <v>1610612737</v>
      </c>
      <c r="P6" t="str">
        <f>N6&amp;O6</f>
        <v>16106127661610612737</v>
      </c>
      <c r="Q6" t="str">
        <f t="shared" si="3"/>
        <v>16106127371610612766</v>
      </c>
      <c r="AE6" t="s">
        <v>159</v>
      </c>
      <c r="AH6" s="2" t="s">
        <v>255</v>
      </c>
    </row>
    <row r="7" spans="1:34" x14ac:dyDescent="0.25">
      <c r="A7">
        <v>5</v>
      </c>
      <c r="B7">
        <v>1610612742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>
        <v>1980</v>
      </c>
      <c r="I7">
        <f t="shared" si="0"/>
        <v>1610612742</v>
      </c>
      <c r="K7" t="s">
        <v>154</v>
      </c>
      <c r="L7" t="s">
        <v>141</v>
      </c>
      <c r="M7" t="s">
        <v>59</v>
      </c>
      <c r="N7">
        <f t="shared" si="1"/>
        <v>1610612766</v>
      </c>
      <c r="O7">
        <f t="shared" si="2"/>
        <v>1610612748</v>
      </c>
      <c r="P7" t="str">
        <f>N7&amp;O7</f>
        <v>16106127661610612748</v>
      </c>
      <c r="Q7" t="str">
        <f t="shared" si="3"/>
        <v>16106127481610612766</v>
      </c>
      <c r="AE7" t="s">
        <v>160</v>
      </c>
      <c r="AH7" s="2" t="s">
        <v>274</v>
      </c>
    </row>
    <row r="8" spans="1:34" x14ac:dyDescent="0.25">
      <c r="A8">
        <v>6</v>
      </c>
      <c r="B8">
        <v>1610612743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>
        <v>1976</v>
      </c>
      <c r="I8">
        <f t="shared" si="0"/>
        <v>1610612743</v>
      </c>
      <c r="K8" t="s">
        <v>154</v>
      </c>
      <c r="L8" t="s">
        <v>56</v>
      </c>
      <c r="M8" t="s">
        <v>13</v>
      </c>
      <c r="N8">
        <f t="shared" si="1"/>
        <v>1610612747</v>
      </c>
      <c r="O8">
        <f t="shared" si="2"/>
        <v>1610612738</v>
      </c>
      <c r="P8" t="str">
        <f>N8&amp;O8</f>
        <v>16106127471610612738</v>
      </c>
      <c r="Q8" t="str">
        <f t="shared" si="3"/>
        <v>16106127381610612747</v>
      </c>
      <c r="AE8" t="s">
        <v>161</v>
      </c>
      <c r="AH8" s="2" t="s">
        <v>233</v>
      </c>
    </row>
    <row r="9" spans="1:34" x14ac:dyDescent="0.25">
      <c r="A9">
        <v>7</v>
      </c>
      <c r="B9">
        <v>1610612744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>
        <v>1946</v>
      </c>
      <c r="I9">
        <f t="shared" si="0"/>
        <v>1610612744</v>
      </c>
      <c r="K9" t="s">
        <v>154</v>
      </c>
      <c r="L9" t="s">
        <v>56</v>
      </c>
      <c r="M9" t="s">
        <v>52</v>
      </c>
      <c r="N9">
        <f t="shared" si="1"/>
        <v>1610612747</v>
      </c>
      <c r="O9">
        <f t="shared" si="2"/>
        <v>1610612746</v>
      </c>
      <c r="P9" t="str">
        <f>N9&amp;O9</f>
        <v>16106127471610612746</v>
      </c>
      <c r="Q9" t="str">
        <f t="shared" si="3"/>
        <v>16106127461610612747</v>
      </c>
      <c r="AE9" t="s">
        <v>162</v>
      </c>
      <c r="AH9" s="2" t="s">
        <v>231</v>
      </c>
    </row>
    <row r="10" spans="1:34" x14ac:dyDescent="0.25">
      <c r="A10">
        <v>8</v>
      </c>
      <c r="B10">
        <v>1610612745</v>
      </c>
      <c r="C10" t="s">
        <v>47</v>
      </c>
      <c r="D10" t="s">
        <v>48</v>
      </c>
      <c r="E10" t="s">
        <v>49</v>
      </c>
      <c r="F10" t="s">
        <v>50</v>
      </c>
      <c r="G10" t="s">
        <v>36</v>
      </c>
      <c r="H10">
        <v>1967</v>
      </c>
      <c r="I10">
        <f t="shared" si="0"/>
        <v>1610612745</v>
      </c>
      <c r="K10" t="s">
        <v>154</v>
      </c>
      <c r="L10" t="s">
        <v>117</v>
      </c>
      <c r="M10" t="s">
        <v>89</v>
      </c>
      <c r="N10">
        <f t="shared" si="1"/>
        <v>1610612761</v>
      </c>
      <c r="O10">
        <f t="shared" si="2"/>
        <v>1610612755</v>
      </c>
      <c r="P10" t="str">
        <f>N10&amp;O10</f>
        <v>16106127611610612755</v>
      </c>
      <c r="Q10" t="str">
        <f t="shared" si="3"/>
        <v>16106127551610612761</v>
      </c>
      <c r="AE10" t="s">
        <v>163</v>
      </c>
      <c r="AH10" s="2" t="s">
        <v>260</v>
      </c>
    </row>
    <row r="11" spans="1:34" x14ac:dyDescent="0.25">
      <c r="A11">
        <v>9</v>
      </c>
      <c r="B11">
        <v>1610612746</v>
      </c>
      <c r="C11" t="s">
        <v>51</v>
      </c>
      <c r="D11" t="s">
        <v>52</v>
      </c>
      <c r="E11" t="s">
        <v>53</v>
      </c>
      <c r="F11" t="s">
        <v>54</v>
      </c>
      <c r="G11" t="s">
        <v>46</v>
      </c>
      <c r="H11">
        <v>1970</v>
      </c>
      <c r="I11">
        <f t="shared" si="0"/>
        <v>1610612746</v>
      </c>
      <c r="K11" t="s">
        <v>154</v>
      </c>
      <c r="L11" t="s">
        <v>117</v>
      </c>
      <c r="M11" t="s">
        <v>13</v>
      </c>
      <c r="N11">
        <f t="shared" si="1"/>
        <v>1610612761</v>
      </c>
      <c r="O11">
        <f t="shared" si="2"/>
        <v>1610612738</v>
      </c>
      <c r="P11" t="str">
        <f>N11&amp;O11</f>
        <v>16106127611610612738</v>
      </c>
      <c r="Q11" t="str">
        <f t="shared" si="3"/>
        <v>16106127381610612761</v>
      </c>
      <c r="AE11" t="s">
        <v>164</v>
      </c>
      <c r="AH11" s="2" t="s">
        <v>232</v>
      </c>
    </row>
    <row r="12" spans="1:34" x14ac:dyDescent="0.25">
      <c r="A12">
        <v>10</v>
      </c>
      <c r="B12">
        <v>1610612747</v>
      </c>
      <c r="C12" t="s">
        <v>55</v>
      </c>
      <c r="D12" t="s">
        <v>56</v>
      </c>
      <c r="E12" t="s">
        <v>57</v>
      </c>
      <c r="F12" t="s">
        <v>54</v>
      </c>
      <c r="G12" t="s">
        <v>46</v>
      </c>
      <c r="H12">
        <v>1948</v>
      </c>
      <c r="I12">
        <f t="shared" si="0"/>
        <v>1610612747</v>
      </c>
      <c r="K12" t="s">
        <v>154</v>
      </c>
      <c r="L12" t="s">
        <v>136</v>
      </c>
      <c r="M12" t="s">
        <v>28</v>
      </c>
      <c r="N12">
        <f t="shared" si="1"/>
        <v>1610612765</v>
      </c>
      <c r="O12">
        <f t="shared" si="2"/>
        <v>1610612741</v>
      </c>
      <c r="P12" t="str">
        <f>N12&amp;O12</f>
        <v>16106127651610612741</v>
      </c>
      <c r="Q12" t="str">
        <f t="shared" si="3"/>
        <v>16106127411610612765</v>
      </c>
      <c r="AE12" t="s">
        <v>165</v>
      </c>
      <c r="AH12" s="2" t="s">
        <v>265</v>
      </c>
    </row>
    <row r="13" spans="1:34" x14ac:dyDescent="0.25">
      <c r="A13">
        <v>11</v>
      </c>
      <c r="B13">
        <v>1610612748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>
        <v>1988</v>
      </c>
      <c r="I13">
        <f t="shared" si="0"/>
        <v>1610612748</v>
      </c>
      <c r="K13" t="s">
        <v>154</v>
      </c>
      <c r="L13" t="s">
        <v>136</v>
      </c>
      <c r="M13" t="s">
        <v>81</v>
      </c>
      <c r="N13">
        <f t="shared" si="1"/>
        <v>1610612765</v>
      </c>
      <c r="O13">
        <f t="shared" si="2"/>
        <v>1610612753</v>
      </c>
      <c r="P13" t="str">
        <f>N13&amp;O13</f>
        <v>16106127651610612753</v>
      </c>
      <c r="Q13" t="str">
        <f t="shared" si="3"/>
        <v>16106127531610612765</v>
      </c>
      <c r="AE13" t="s">
        <v>166</v>
      </c>
      <c r="AH13" s="2" t="s">
        <v>267</v>
      </c>
    </row>
    <row r="14" spans="1:34" x14ac:dyDescent="0.25">
      <c r="A14">
        <v>12</v>
      </c>
      <c r="B14">
        <v>1610612749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H14">
        <v>1968</v>
      </c>
      <c r="I14">
        <f t="shared" si="0"/>
        <v>1610612749</v>
      </c>
      <c r="K14" t="s">
        <v>154</v>
      </c>
      <c r="L14" t="s">
        <v>136</v>
      </c>
      <c r="M14" t="s">
        <v>85</v>
      </c>
      <c r="N14">
        <f t="shared" si="1"/>
        <v>1610612765</v>
      </c>
      <c r="O14">
        <f t="shared" si="2"/>
        <v>1610612754</v>
      </c>
      <c r="P14" t="str">
        <f>N14&amp;O14</f>
        <v>16106127651610612754</v>
      </c>
      <c r="Q14" t="str">
        <f t="shared" si="3"/>
        <v>16106127541610612765</v>
      </c>
      <c r="AE14" t="s">
        <v>167</v>
      </c>
      <c r="AH14" s="2" t="s">
        <v>271</v>
      </c>
    </row>
    <row r="15" spans="1:34" x14ac:dyDescent="0.25">
      <c r="A15">
        <v>13</v>
      </c>
      <c r="B15">
        <v>1610612750</v>
      </c>
      <c r="C15" t="s">
        <v>68</v>
      </c>
      <c r="D15" t="s">
        <v>69</v>
      </c>
      <c r="E15" t="s">
        <v>70</v>
      </c>
      <c r="F15" t="s">
        <v>71</v>
      </c>
      <c r="G15" t="s">
        <v>71</v>
      </c>
      <c r="H15">
        <v>1989</v>
      </c>
      <c r="I15">
        <f t="shared" si="0"/>
        <v>1610612750</v>
      </c>
      <c r="K15" t="s">
        <v>154</v>
      </c>
      <c r="L15" t="s">
        <v>136</v>
      </c>
      <c r="M15" t="s">
        <v>48</v>
      </c>
      <c r="N15">
        <f t="shared" si="1"/>
        <v>1610612765</v>
      </c>
      <c r="O15">
        <f t="shared" si="2"/>
        <v>1610612745</v>
      </c>
      <c r="P15" t="str">
        <f>N15&amp;O15</f>
        <v>16106127651610612745</v>
      </c>
      <c r="Q15" t="str">
        <f t="shared" si="3"/>
        <v>16106127451610612765</v>
      </c>
      <c r="AE15" t="s">
        <v>168</v>
      </c>
      <c r="AH15" s="2" t="s">
        <v>234</v>
      </c>
    </row>
    <row r="16" spans="1:34" x14ac:dyDescent="0.25">
      <c r="A16">
        <v>14</v>
      </c>
      <c r="B16">
        <v>1610612751</v>
      </c>
      <c r="C16" t="s">
        <v>72</v>
      </c>
      <c r="D16" t="s">
        <v>73</v>
      </c>
      <c r="E16" t="s">
        <v>74</v>
      </c>
      <c r="F16" t="s">
        <v>75</v>
      </c>
      <c r="G16" t="s">
        <v>76</v>
      </c>
      <c r="H16">
        <v>1976</v>
      </c>
      <c r="I16">
        <f t="shared" si="0"/>
        <v>1610612751</v>
      </c>
      <c r="K16" t="s">
        <v>154</v>
      </c>
      <c r="L16" t="s">
        <v>131</v>
      </c>
      <c r="M16" t="s">
        <v>13</v>
      </c>
      <c r="N16">
        <f t="shared" si="1"/>
        <v>1610612764</v>
      </c>
      <c r="O16">
        <f t="shared" si="2"/>
        <v>1610612738</v>
      </c>
      <c r="P16" t="str">
        <f>N16&amp;O16</f>
        <v>16106127641610612738</v>
      </c>
      <c r="Q16" t="str">
        <f t="shared" si="3"/>
        <v>16106127381610612764</v>
      </c>
      <c r="AE16" t="s">
        <v>169</v>
      </c>
      <c r="AH16" s="2" t="s">
        <v>248</v>
      </c>
    </row>
    <row r="17" spans="1:34" x14ac:dyDescent="0.25">
      <c r="A17">
        <v>15</v>
      </c>
      <c r="B17">
        <v>1610612752</v>
      </c>
      <c r="C17" t="s">
        <v>77</v>
      </c>
      <c r="D17" t="s">
        <v>78</v>
      </c>
      <c r="E17" t="s">
        <v>79</v>
      </c>
      <c r="F17" t="s">
        <v>76</v>
      </c>
      <c r="G17" t="s">
        <v>76</v>
      </c>
      <c r="H17">
        <v>1946</v>
      </c>
      <c r="I17">
        <f t="shared" si="0"/>
        <v>1610612752</v>
      </c>
      <c r="K17" t="s">
        <v>154</v>
      </c>
      <c r="L17" t="s">
        <v>131</v>
      </c>
      <c r="M17" t="s">
        <v>89</v>
      </c>
      <c r="N17">
        <f t="shared" si="1"/>
        <v>1610612764</v>
      </c>
      <c r="O17">
        <f t="shared" si="2"/>
        <v>1610612755</v>
      </c>
      <c r="P17" t="str">
        <f>N17&amp;O17</f>
        <v>16106127641610612755</v>
      </c>
      <c r="Q17" t="str">
        <f t="shared" si="3"/>
        <v>16106127551610612764</v>
      </c>
      <c r="AE17" t="s">
        <v>170</v>
      </c>
      <c r="AH17" s="2" t="s">
        <v>252</v>
      </c>
    </row>
    <row r="18" spans="1:34" x14ac:dyDescent="0.25">
      <c r="A18">
        <v>16</v>
      </c>
      <c r="B18">
        <v>1610612753</v>
      </c>
      <c r="C18" t="s">
        <v>80</v>
      </c>
      <c r="D18" t="s">
        <v>81</v>
      </c>
      <c r="E18" t="s">
        <v>82</v>
      </c>
      <c r="F18" t="s">
        <v>83</v>
      </c>
      <c r="G18" t="s">
        <v>62</v>
      </c>
      <c r="H18">
        <v>1989</v>
      </c>
      <c r="I18">
        <f t="shared" si="0"/>
        <v>1610612753</v>
      </c>
      <c r="K18" t="s">
        <v>154</v>
      </c>
      <c r="L18" t="s">
        <v>8</v>
      </c>
      <c r="M18" t="s">
        <v>78</v>
      </c>
      <c r="N18">
        <f t="shared" si="1"/>
        <v>1610612737</v>
      </c>
      <c r="O18">
        <f t="shared" si="2"/>
        <v>1610612752</v>
      </c>
      <c r="P18" t="str">
        <f>N18&amp;O18</f>
        <v>16106127371610612752</v>
      </c>
      <c r="Q18" t="str">
        <f t="shared" si="3"/>
        <v>16106127521610612737</v>
      </c>
      <c r="AE18" t="s">
        <v>171</v>
      </c>
      <c r="AH18" s="2" t="s">
        <v>215</v>
      </c>
    </row>
    <row r="19" spans="1:34" x14ac:dyDescent="0.25">
      <c r="A19">
        <v>17</v>
      </c>
      <c r="B19">
        <v>1610612754</v>
      </c>
      <c r="C19" t="s">
        <v>84</v>
      </c>
      <c r="D19" t="s">
        <v>85</v>
      </c>
      <c r="E19" t="s">
        <v>86</v>
      </c>
      <c r="F19" t="s">
        <v>87</v>
      </c>
      <c r="G19" t="s">
        <v>87</v>
      </c>
      <c r="H19">
        <v>1976</v>
      </c>
      <c r="I19">
        <f t="shared" si="0"/>
        <v>1610612754</v>
      </c>
      <c r="K19" t="s">
        <v>154</v>
      </c>
      <c r="L19" t="s">
        <v>8</v>
      </c>
      <c r="M19" t="s">
        <v>59</v>
      </c>
      <c r="N19">
        <f t="shared" si="1"/>
        <v>1610612737</v>
      </c>
      <c r="O19">
        <f t="shared" si="2"/>
        <v>1610612748</v>
      </c>
      <c r="P19" t="str">
        <f>N19&amp;O19</f>
        <v>16106127371610612748</v>
      </c>
      <c r="Q19" t="str">
        <f t="shared" si="3"/>
        <v>16106127481610612737</v>
      </c>
      <c r="AE19" t="s">
        <v>172</v>
      </c>
      <c r="AH19" s="2" t="s">
        <v>213</v>
      </c>
    </row>
    <row r="20" spans="1:34" x14ac:dyDescent="0.25">
      <c r="A20">
        <v>18</v>
      </c>
      <c r="B20">
        <v>1610612755</v>
      </c>
      <c r="C20" t="s">
        <v>88</v>
      </c>
      <c r="D20" t="s">
        <v>89</v>
      </c>
      <c r="E20" t="s">
        <v>90</v>
      </c>
      <c r="F20" t="s">
        <v>91</v>
      </c>
      <c r="G20" t="s">
        <v>92</v>
      </c>
      <c r="H20">
        <v>1949</v>
      </c>
      <c r="I20">
        <f t="shared" si="0"/>
        <v>1610612755</v>
      </c>
      <c r="K20" t="s">
        <v>154</v>
      </c>
      <c r="L20" t="s">
        <v>8</v>
      </c>
      <c r="M20" t="s">
        <v>13</v>
      </c>
      <c r="N20">
        <f t="shared" si="1"/>
        <v>1610612737</v>
      </c>
      <c r="O20">
        <f t="shared" si="2"/>
        <v>1610612738</v>
      </c>
      <c r="P20" t="str">
        <f>N20&amp;O20</f>
        <v>16106127371610612738</v>
      </c>
      <c r="Q20" t="str">
        <f t="shared" si="3"/>
        <v>16106127381610612737</v>
      </c>
      <c r="AE20" t="s">
        <v>173</v>
      </c>
      <c r="AH20" s="2" t="s">
        <v>216</v>
      </c>
    </row>
    <row r="21" spans="1:34" x14ac:dyDescent="0.25">
      <c r="A21">
        <v>19</v>
      </c>
      <c r="B21">
        <v>1610612756</v>
      </c>
      <c r="C21" t="s">
        <v>93</v>
      </c>
      <c r="D21" t="s">
        <v>94</v>
      </c>
      <c r="E21" t="s">
        <v>95</v>
      </c>
      <c r="F21" t="s">
        <v>96</v>
      </c>
      <c r="G21" t="s">
        <v>97</v>
      </c>
      <c r="H21">
        <v>1968</v>
      </c>
      <c r="I21">
        <f t="shared" si="0"/>
        <v>1610612756</v>
      </c>
      <c r="K21" t="s">
        <v>154</v>
      </c>
      <c r="L21" t="s">
        <v>28</v>
      </c>
      <c r="M21" t="s">
        <v>64</v>
      </c>
      <c r="N21">
        <f t="shared" si="1"/>
        <v>1610612741</v>
      </c>
      <c r="O21">
        <f t="shared" si="2"/>
        <v>1610612749</v>
      </c>
      <c r="P21" t="str">
        <f>N21&amp;O21</f>
        <v>16106127411610612749</v>
      </c>
      <c r="Q21" t="str">
        <f t="shared" si="3"/>
        <v>16106127491610612741</v>
      </c>
      <c r="AE21" t="s">
        <v>174</v>
      </c>
      <c r="AH21" s="2" t="s">
        <v>214</v>
      </c>
    </row>
    <row r="22" spans="1:34" x14ac:dyDescent="0.25">
      <c r="A22">
        <v>20</v>
      </c>
      <c r="B22">
        <v>1610612757</v>
      </c>
      <c r="C22" t="s">
        <v>98</v>
      </c>
      <c r="D22" t="s">
        <v>99</v>
      </c>
      <c r="E22" t="s">
        <v>100</v>
      </c>
      <c r="F22" t="s">
        <v>101</v>
      </c>
      <c r="G22" t="s">
        <v>102</v>
      </c>
      <c r="H22">
        <v>1970</v>
      </c>
      <c r="I22">
        <f t="shared" si="0"/>
        <v>1610612757</v>
      </c>
      <c r="K22" t="s">
        <v>154</v>
      </c>
      <c r="L22" t="s">
        <v>28</v>
      </c>
      <c r="M22" t="s">
        <v>78</v>
      </c>
      <c r="N22">
        <f t="shared" si="1"/>
        <v>1610612741</v>
      </c>
      <c r="O22">
        <f t="shared" si="2"/>
        <v>1610612752</v>
      </c>
      <c r="P22" t="str">
        <f>N22&amp;O22</f>
        <v>16106127411610612752</v>
      </c>
      <c r="Q22" t="str">
        <f t="shared" si="3"/>
        <v>16106127521610612741</v>
      </c>
      <c r="AE22" t="s">
        <v>175</v>
      </c>
      <c r="AH22" s="2" t="s">
        <v>202</v>
      </c>
    </row>
    <row r="23" spans="1:34" x14ac:dyDescent="0.25">
      <c r="A23">
        <v>21</v>
      </c>
      <c r="B23">
        <v>1610612758</v>
      </c>
      <c r="C23" t="s">
        <v>103</v>
      </c>
      <c r="D23" t="s">
        <v>104</v>
      </c>
      <c r="E23" t="s">
        <v>105</v>
      </c>
      <c r="F23" t="s">
        <v>106</v>
      </c>
      <c r="G23" t="s">
        <v>46</v>
      </c>
      <c r="H23">
        <v>1948</v>
      </c>
      <c r="I23">
        <f t="shared" si="0"/>
        <v>1610612758</v>
      </c>
      <c r="K23" t="s">
        <v>154</v>
      </c>
      <c r="L23" t="s">
        <v>43</v>
      </c>
      <c r="M23" t="s">
        <v>126</v>
      </c>
      <c r="N23">
        <f t="shared" si="1"/>
        <v>1610612744</v>
      </c>
      <c r="O23">
        <f t="shared" si="2"/>
        <v>1610612763</v>
      </c>
      <c r="P23" t="str">
        <f>N23&amp;O23</f>
        <v>16106127441610612763</v>
      </c>
      <c r="Q23" t="str">
        <f t="shared" si="3"/>
        <v>16106127631610612744</v>
      </c>
      <c r="AE23" t="s">
        <v>176</v>
      </c>
      <c r="AH23" s="2" t="s">
        <v>200</v>
      </c>
    </row>
    <row r="24" spans="1:34" x14ac:dyDescent="0.25">
      <c r="A24">
        <v>22</v>
      </c>
      <c r="B24">
        <v>1610612759</v>
      </c>
      <c r="C24" t="s">
        <v>107</v>
      </c>
      <c r="D24" t="s">
        <v>108</v>
      </c>
      <c r="E24" t="s">
        <v>109</v>
      </c>
      <c r="F24" t="s">
        <v>110</v>
      </c>
      <c r="G24" t="s">
        <v>36</v>
      </c>
      <c r="H24">
        <v>1976</v>
      </c>
      <c r="I24">
        <f t="shared" si="0"/>
        <v>1610612759</v>
      </c>
      <c r="K24" t="s">
        <v>154</v>
      </c>
      <c r="L24" t="s">
        <v>43</v>
      </c>
      <c r="M24" t="s">
        <v>13</v>
      </c>
      <c r="N24">
        <f t="shared" si="1"/>
        <v>1610612744</v>
      </c>
      <c r="O24">
        <f t="shared" si="2"/>
        <v>1610612738</v>
      </c>
      <c r="P24" t="str">
        <f>N24&amp;O24</f>
        <v>16106127441610612738</v>
      </c>
      <c r="Q24" t="str">
        <f t="shared" si="3"/>
        <v>16106127381610612744</v>
      </c>
      <c r="AE24" t="s">
        <v>177</v>
      </c>
      <c r="AH24" s="2" t="s">
        <v>201</v>
      </c>
    </row>
    <row r="25" spans="1:34" x14ac:dyDescent="0.25">
      <c r="A25">
        <v>23</v>
      </c>
      <c r="B25">
        <v>1610612760</v>
      </c>
      <c r="C25" t="s">
        <v>111</v>
      </c>
      <c r="D25" t="s">
        <v>112</v>
      </c>
      <c r="E25" t="s">
        <v>113</v>
      </c>
      <c r="F25" t="s">
        <v>114</v>
      </c>
      <c r="G25" t="s">
        <v>115</v>
      </c>
      <c r="H25">
        <v>1967</v>
      </c>
      <c r="I25">
        <f t="shared" si="0"/>
        <v>1610612760</v>
      </c>
      <c r="K25" t="s">
        <v>154</v>
      </c>
      <c r="L25" t="s">
        <v>43</v>
      </c>
      <c r="M25" t="s">
        <v>56</v>
      </c>
      <c r="N25">
        <f t="shared" si="1"/>
        <v>1610612744</v>
      </c>
      <c r="O25">
        <f t="shared" si="2"/>
        <v>1610612747</v>
      </c>
      <c r="P25" t="str">
        <f>N25&amp;O25</f>
        <v>16106127441610612747</v>
      </c>
      <c r="Q25" t="str">
        <f t="shared" si="3"/>
        <v>16106127471610612744</v>
      </c>
      <c r="AE25" t="s">
        <v>178</v>
      </c>
      <c r="AH25" s="2" t="s">
        <v>174</v>
      </c>
    </row>
    <row r="26" spans="1:34" x14ac:dyDescent="0.25">
      <c r="A26">
        <v>24</v>
      </c>
      <c r="B26">
        <v>1610612761</v>
      </c>
      <c r="C26" t="s">
        <v>116</v>
      </c>
      <c r="D26" t="s">
        <v>117</v>
      </c>
      <c r="E26" t="s">
        <v>118</v>
      </c>
      <c r="F26" t="s">
        <v>119</v>
      </c>
      <c r="G26" t="s">
        <v>120</v>
      </c>
      <c r="H26">
        <v>1995</v>
      </c>
      <c r="I26">
        <f t="shared" si="0"/>
        <v>1610612761</v>
      </c>
      <c r="K26" t="s">
        <v>154</v>
      </c>
      <c r="L26" t="s">
        <v>43</v>
      </c>
      <c r="M26" t="s">
        <v>94</v>
      </c>
      <c r="N26">
        <f t="shared" si="1"/>
        <v>1610612744</v>
      </c>
      <c r="O26">
        <f t="shared" si="2"/>
        <v>1610612756</v>
      </c>
      <c r="P26" t="str">
        <f>N26&amp;O26</f>
        <v>16106127441610612756</v>
      </c>
      <c r="Q26" t="str">
        <f t="shared" si="3"/>
        <v>16106127561610612744</v>
      </c>
      <c r="AE26" t="s">
        <v>179</v>
      </c>
      <c r="AH26" s="2" t="s">
        <v>175</v>
      </c>
    </row>
    <row r="27" spans="1:34" x14ac:dyDescent="0.25">
      <c r="A27">
        <v>25</v>
      </c>
      <c r="B27">
        <v>1610612762</v>
      </c>
      <c r="C27" t="s">
        <v>121</v>
      </c>
      <c r="D27" t="s">
        <v>122</v>
      </c>
      <c r="E27" t="s">
        <v>123</v>
      </c>
      <c r="F27" t="s">
        <v>124</v>
      </c>
      <c r="G27" t="s">
        <v>124</v>
      </c>
      <c r="H27">
        <v>1974</v>
      </c>
      <c r="I27">
        <f t="shared" si="0"/>
        <v>1610612762</v>
      </c>
      <c r="K27" t="s">
        <v>154</v>
      </c>
      <c r="L27" t="s">
        <v>33</v>
      </c>
      <c r="M27" t="s">
        <v>52</v>
      </c>
      <c r="N27">
        <f t="shared" si="1"/>
        <v>1610612742</v>
      </c>
      <c r="O27">
        <f t="shared" si="2"/>
        <v>1610612746</v>
      </c>
      <c r="P27" t="str">
        <f>N27&amp;O27</f>
        <v>16106127421610612746</v>
      </c>
      <c r="Q27" t="str">
        <f t="shared" si="3"/>
        <v>16106127461610612742</v>
      </c>
      <c r="AE27" t="s">
        <v>180</v>
      </c>
      <c r="AH27" s="2" t="s">
        <v>278</v>
      </c>
    </row>
    <row r="28" spans="1:34" x14ac:dyDescent="0.25">
      <c r="A28">
        <v>26</v>
      </c>
      <c r="B28">
        <v>1610612763</v>
      </c>
      <c r="C28" t="s">
        <v>125</v>
      </c>
      <c r="D28" t="s">
        <v>126</v>
      </c>
      <c r="E28" t="s">
        <v>127</v>
      </c>
      <c r="F28" t="s">
        <v>128</v>
      </c>
      <c r="G28" t="s">
        <v>129</v>
      </c>
      <c r="H28">
        <v>1995</v>
      </c>
      <c r="I28">
        <f t="shared" si="0"/>
        <v>1610612763</v>
      </c>
      <c r="K28" t="s">
        <v>154</v>
      </c>
      <c r="L28" t="s">
        <v>33</v>
      </c>
      <c r="M28" t="s">
        <v>94</v>
      </c>
      <c r="N28">
        <f t="shared" si="1"/>
        <v>1610612742</v>
      </c>
      <c r="O28">
        <f t="shared" si="2"/>
        <v>1610612756</v>
      </c>
      <c r="P28" t="str">
        <f>N28&amp;O28</f>
        <v>16106127421610612756</v>
      </c>
      <c r="Q28" t="str">
        <f t="shared" si="3"/>
        <v>16106127561610612742</v>
      </c>
      <c r="AE28" t="s">
        <v>181</v>
      </c>
      <c r="AH28" s="2" t="s">
        <v>280</v>
      </c>
    </row>
    <row r="29" spans="1:34" x14ac:dyDescent="0.25">
      <c r="A29">
        <v>27</v>
      </c>
      <c r="B29">
        <v>1610612764</v>
      </c>
      <c r="C29" t="s">
        <v>130</v>
      </c>
      <c r="D29" t="s">
        <v>131</v>
      </c>
      <c r="E29" t="s">
        <v>132</v>
      </c>
      <c r="F29" t="s">
        <v>133</v>
      </c>
      <c r="G29" t="s">
        <v>134</v>
      </c>
      <c r="H29">
        <v>1961</v>
      </c>
      <c r="I29">
        <f t="shared" si="0"/>
        <v>1610612764</v>
      </c>
      <c r="K29" t="s">
        <v>154</v>
      </c>
      <c r="L29" t="s">
        <v>33</v>
      </c>
      <c r="M29" t="s">
        <v>108</v>
      </c>
      <c r="N29">
        <f t="shared" si="1"/>
        <v>1610612742</v>
      </c>
      <c r="O29">
        <f t="shared" si="2"/>
        <v>1610612759</v>
      </c>
      <c r="P29" t="str">
        <f>N29&amp;O29</f>
        <v>16106127421610612759</v>
      </c>
      <c r="Q29" t="str">
        <f t="shared" si="3"/>
        <v>16106127591610612742</v>
      </c>
      <c r="AE29" t="s">
        <v>182</v>
      </c>
      <c r="AH29" s="2" t="s">
        <v>249</v>
      </c>
    </row>
    <row r="30" spans="1:34" x14ac:dyDescent="0.25">
      <c r="A30">
        <v>28</v>
      </c>
      <c r="B30">
        <v>1610612765</v>
      </c>
      <c r="C30" t="s">
        <v>135</v>
      </c>
      <c r="D30" t="s">
        <v>136</v>
      </c>
      <c r="E30" t="s">
        <v>137</v>
      </c>
      <c r="F30" t="s">
        <v>138</v>
      </c>
      <c r="G30" t="s">
        <v>139</v>
      </c>
      <c r="H30">
        <v>1948</v>
      </c>
      <c r="I30">
        <f t="shared" si="0"/>
        <v>1610612765</v>
      </c>
      <c r="K30" t="s">
        <v>154</v>
      </c>
      <c r="L30" t="s">
        <v>99</v>
      </c>
      <c r="M30" t="s">
        <v>38</v>
      </c>
      <c r="N30">
        <f t="shared" si="1"/>
        <v>1610612757</v>
      </c>
      <c r="O30">
        <f t="shared" si="2"/>
        <v>1610612743</v>
      </c>
      <c r="P30" t="str">
        <f>N30&amp;O30</f>
        <v>16106127571610612743</v>
      </c>
      <c r="Q30" t="str">
        <f t="shared" si="3"/>
        <v>16106127431610612757</v>
      </c>
      <c r="AE30" t="s">
        <v>183</v>
      </c>
      <c r="AH30" s="2" t="s">
        <v>245</v>
      </c>
    </row>
    <row r="31" spans="1:34" x14ac:dyDescent="0.25">
      <c r="A31">
        <v>29</v>
      </c>
      <c r="B31">
        <v>1610612766</v>
      </c>
      <c r="C31" t="s">
        <v>140</v>
      </c>
      <c r="D31" t="s">
        <v>141</v>
      </c>
      <c r="E31" t="s">
        <v>142</v>
      </c>
      <c r="F31" t="s">
        <v>143</v>
      </c>
      <c r="G31" t="s">
        <v>144</v>
      </c>
      <c r="H31">
        <v>1988</v>
      </c>
      <c r="I31">
        <f t="shared" si="0"/>
        <v>1610612766</v>
      </c>
      <c r="K31" t="s">
        <v>154</v>
      </c>
      <c r="L31" t="s">
        <v>99</v>
      </c>
      <c r="M31" t="s">
        <v>56</v>
      </c>
      <c r="N31">
        <f t="shared" si="1"/>
        <v>1610612757</v>
      </c>
      <c r="O31">
        <f t="shared" si="2"/>
        <v>1610612747</v>
      </c>
      <c r="P31" t="str">
        <f>N31&amp;O31</f>
        <v>16106127571610612747</v>
      </c>
      <c r="Q31" t="str">
        <f t="shared" si="3"/>
        <v>16106127471610612757</v>
      </c>
      <c r="AE31" t="s">
        <v>184</v>
      </c>
      <c r="AH31" s="2" t="s">
        <v>180</v>
      </c>
    </row>
    <row r="32" spans="1:34" x14ac:dyDescent="0.25">
      <c r="K32" t="s">
        <v>154</v>
      </c>
      <c r="L32" t="s">
        <v>59</v>
      </c>
      <c r="M32" t="s">
        <v>13</v>
      </c>
      <c r="N32">
        <f t="shared" si="1"/>
        <v>1610612748</v>
      </c>
      <c r="O32">
        <f t="shared" si="2"/>
        <v>1610612738</v>
      </c>
      <c r="P32" t="str">
        <f>N32&amp;O32</f>
        <v>16106127481610612738</v>
      </c>
      <c r="Q32" t="str">
        <f t="shared" si="3"/>
        <v>16106127381610612748</v>
      </c>
      <c r="AE32" t="s">
        <v>185</v>
      </c>
      <c r="AH32" s="2" t="s">
        <v>181</v>
      </c>
    </row>
    <row r="33" spans="11:34" x14ac:dyDescent="0.25">
      <c r="K33" t="s">
        <v>154</v>
      </c>
      <c r="L33" t="s">
        <v>59</v>
      </c>
      <c r="M33" t="s">
        <v>64</v>
      </c>
      <c r="N33">
        <f t="shared" si="1"/>
        <v>1610612748</v>
      </c>
      <c r="O33">
        <f t="shared" si="2"/>
        <v>1610612749</v>
      </c>
      <c r="P33" t="str">
        <f>N33&amp;O33</f>
        <v>16106127481610612749</v>
      </c>
      <c r="Q33" t="str">
        <f t="shared" si="3"/>
        <v>16106127491610612748</v>
      </c>
      <c r="AE33" t="s">
        <v>186</v>
      </c>
      <c r="AH33" s="2" t="s">
        <v>182</v>
      </c>
    </row>
    <row r="34" spans="11:34" x14ac:dyDescent="0.25">
      <c r="K34" t="s">
        <v>154</v>
      </c>
      <c r="L34" t="s">
        <v>52</v>
      </c>
      <c r="M34" t="s">
        <v>56</v>
      </c>
      <c r="N34">
        <f t="shared" si="1"/>
        <v>1610612746</v>
      </c>
      <c r="O34">
        <f t="shared" si="2"/>
        <v>1610612747</v>
      </c>
      <c r="P34" t="str">
        <f>N34&amp;O34</f>
        <v>16106127461610612747</v>
      </c>
      <c r="Q34" t="str">
        <f t="shared" si="3"/>
        <v>16106127471610612746</v>
      </c>
      <c r="AE34" t="s">
        <v>187</v>
      </c>
      <c r="AH34" s="2" t="s">
        <v>240</v>
      </c>
    </row>
    <row r="35" spans="11:34" x14ac:dyDescent="0.25">
      <c r="K35" t="s">
        <v>154</v>
      </c>
      <c r="L35" t="s">
        <v>52</v>
      </c>
      <c r="M35" t="s">
        <v>33</v>
      </c>
      <c r="N35">
        <f t="shared" si="1"/>
        <v>1610612746</v>
      </c>
      <c r="O35">
        <f t="shared" si="2"/>
        <v>1610612742</v>
      </c>
      <c r="P35" t="str">
        <f>N35&amp;O35</f>
        <v>16106127461610612742</v>
      </c>
      <c r="Q35" t="str">
        <f t="shared" si="3"/>
        <v>16106127421610612746</v>
      </c>
      <c r="AE35" t="s">
        <v>188</v>
      </c>
      <c r="AH35" s="2" t="s">
        <v>261</v>
      </c>
    </row>
    <row r="36" spans="11:34" x14ac:dyDescent="0.25">
      <c r="K36" t="s">
        <v>154</v>
      </c>
      <c r="L36" t="s">
        <v>69</v>
      </c>
      <c r="M36" t="s">
        <v>126</v>
      </c>
      <c r="N36">
        <f t="shared" si="1"/>
        <v>1610612750</v>
      </c>
      <c r="O36">
        <f t="shared" si="2"/>
        <v>1610612763</v>
      </c>
      <c r="P36" t="str">
        <f>N36&amp;O36</f>
        <v>16106127501610612763</v>
      </c>
      <c r="Q36" t="str">
        <f t="shared" si="3"/>
        <v>16106127631610612750</v>
      </c>
      <c r="AE36" t="s">
        <v>189</v>
      </c>
      <c r="AH36" s="2" t="s">
        <v>241</v>
      </c>
    </row>
    <row r="37" spans="11:34" x14ac:dyDescent="0.25">
      <c r="K37" t="s">
        <v>154</v>
      </c>
      <c r="L37" t="s">
        <v>69</v>
      </c>
      <c r="M37" t="s">
        <v>38</v>
      </c>
      <c r="N37">
        <f t="shared" si="1"/>
        <v>1610612750</v>
      </c>
      <c r="O37">
        <f t="shared" si="2"/>
        <v>1610612743</v>
      </c>
      <c r="P37" t="str">
        <f>N37&amp;O37</f>
        <v>16106127501610612743</v>
      </c>
      <c r="Q37" t="str">
        <f t="shared" si="3"/>
        <v>16106127431610612750</v>
      </c>
      <c r="AE37" t="s">
        <v>190</v>
      </c>
      <c r="AH37" s="2" t="s">
        <v>242</v>
      </c>
    </row>
    <row r="38" spans="11:34" x14ac:dyDescent="0.25">
      <c r="K38" t="s">
        <v>154</v>
      </c>
      <c r="L38" t="s">
        <v>94</v>
      </c>
      <c r="M38" t="s">
        <v>33</v>
      </c>
      <c r="N38">
        <f t="shared" si="1"/>
        <v>1610612756</v>
      </c>
      <c r="O38">
        <f t="shared" si="2"/>
        <v>1610612742</v>
      </c>
      <c r="P38" t="str">
        <f>N38&amp;O38</f>
        <v>16106127561610612742</v>
      </c>
      <c r="Q38" t="str">
        <f t="shared" si="3"/>
        <v>16106127421610612756</v>
      </c>
      <c r="AE38" t="s">
        <v>191</v>
      </c>
      <c r="AH38" s="2" t="s">
        <v>239</v>
      </c>
    </row>
    <row r="39" spans="11:34" x14ac:dyDescent="0.25">
      <c r="K39" t="s">
        <v>154</v>
      </c>
      <c r="L39" t="s">
        <v>94</v>
      </c>
      <c r="M39" t="s">
        <v>56</v>
      </c>
      <c r="N39">
        <f t="shared" si="1"/>
        <v>1610612756</v>
      </c>
      <c r="O39">
        <f t="shared" si="2"/>
        <v>1610612747</v>
      </c>
      <c r="P39" t="str">
        <f>N39&amp;O39</f>
        <v>16106127561610612747</v>
      </c>
      <c r="Q39" t="str">
        <f t="shared" si="3"/>
        <v>16106127471610612756</v>
      </c>
      <c r="AE39" t="s">
        <v>192</v>
      </c>
      <c r="AH39" s="2" t="s">
        <v>243</v>
      </c>
    </row>
    <row r="40" spans="11:34" x14ac:dyDescent="0.25">
      <c r="K40" t="s">
        <v>154</v>
      </c>
      <c r="L40" t="s">
        <v>94</v>
      </c>
      <c r="M40" t="s">
        <v>23</v>
      </c>
      <c r="N40">
        <f t="shared" si="1"/>
        <v>1610612756</v>
      </c>
      <c r="O40">
        <f t="shared" si="2"/>
        <v>1610612740</v>
      </c>
      <c r="P40" t="str">
        <f>N40&amp;O40</f>
        <v>16106127561610612740</v>
      </c>
      <c r="Q40" t="str">
        <f t="shared" si="3"/>
        <v>16106127401610612756</v>
      </c>
      <c r="AE40" t="s">
        <v>193</v>
      </c>
      <c r="AH40" s="2" t="s">
        <v>177</v>
      </c>
    </row>
    <row r="41" spans="11:34" x14ac:dyDescent="0.25">
      <c r="K41" t="s">
        <v>154</v>
      </c>
      <c r="L41" t="s">
        <v>108</v>
      </c>
      <c r="M41" t="s">
        <v>56</v>
      </c>
      <c r="N41">
        <f t="shared" si="1"/>
        <v>1610612759</v>
      </c>
      <c r="O41">
        <f t="shared" si="2"/>
        <v>1610612747</v>
      </c>
      <c r="P41" t="str">
        <f>N41&amp;O41</f>
        <v>16106127591610612747</v>
      </c>
      <c r="Q41" t="str">
        <f t="shared" si="3"/>
        <v>16106127471610612759</v>
      </c>
      <c r="AE41" t="s">
        <v>194</v>
      </c>
      <c r="AH41" s="2" t="s">
        <v>272</v>
      </c>
    </row>
    <row r="42" spans="11:34" x14ac:dyDescent="0.25">
      <c r="K42" t="s">
        <v>154</v>
      </c>
      <c r="L42" t="s">
        <v>108</v>
      </c>
      <c r="M42" t="s">
        <v>48</v>
      </c>
      <c r="N42">
        <f t="shared" si="1"/>
        <v>1610612759</v>
      </c>
      <c r="O42">
        <f t="shared" si="2"/>
        <v>1610612745</v>
      </c>
      <c r="P42" t="str">
        <f>N42&amp;O42</f>
        <v>16106127591610612745</v>
      </c>
      <c r="Q42" t="str">
        <f t="shared" si="3"/>
        <v>16106127451610612759</v>
      </c>
      <c r="AE42" t="s">
        <v>195</v>
      </c>
      <c r="AH42" s="2" t="s">
        <v>244</v>
      </c>
    </row>
    <row r="43" spans="11:34" x14ac:dyDescent="0.25">
      <c r="K43" t="s">
        <v>154</v>
      </c>
      <c r="L43" t="s">
        <v>108</v>
      </c>
      <c r="M43" t="s">
        <v>33</v>
      </c>
      <c r="N43">
        <f t="shared" si="1"/>
        <v>1610612759</v>
      </c>
      <c r="O43">
        <f t="shared" si="2"/>
        <v>1610612742</v>
      </c>
      <c r="P43" t="str">
        <f>N43&amp;O43</f>
        <v>16106127591610612742</v>
      </c>
      <c r="Q43" t="str">
        <f t="shared" si="3"/>
        <v>16106127421610612759</v>
      </c>
      <c r="AE43" t="s">
        <v>196</v>
      </c>
      <c r="AH43" s="2" t="s">
        <v>178</v>
      </c>
    </row>
    <row r="44" spans="11:34" x14ac:dyDescent="0.25">
      <c r="K44" t="s">
        <v>154</v>
      </c>
      <c r="L44" t="s">
        <v>73</v>
      </c>
      <c r="M44" t="s">
        <v>13</v>
      </c>
      <c r="N44">
        <f t="shared" si="1"/>
        <v>1610612751</v>
      </c>
      <c r="O44">
        <f t="shared" si="2"/>
        <v>1610612738</v>
      </c>
      <c r="P44" t="str">
        <f>N44&amp;O44</f>
        <v>16106127511610612738</v>
      </c>
      <c r="Q44" t="str">
        <f t="shared" si="3"/>
        <v>16106127381610612751</v>
      </c>
      <c r="AE44" t="s">
        <v>197</v>
      </c>
      <c r="AH44" s="2" t="s">
        <v>179</v>
      </c>
    </row>
    <row r="45" spans="11:34" x14ac:dyDescent="0.25">
      <c r="K45" t="s">
        <v>154</v>
      </c>
      <c r="L45" t="s">
        <v>73</v>
      </c>
      <c r="M45" t="s">
        <v>89</v>
      </c>
      <c r="N45">
        <f t="shared" si="1"/>
        <v>1610612751</v>
      </c>
      <c r="O45">
        <f t="shared" si="2"/>
        <v>1610612755</v>
      </c>
      <c r="P45" t="str">
        <f>N45&amp;O45</f>
        <v>16106127511610612755</v>
      </c>
      <c r="Q45" t="str">
        <f t="shared" si="3"/>
        <v>16106127551610612751</v>
      </c>
      <c r="AE45" t="s">
        <v>198</v>
      </c>
      <c r="AH45" s="2" t="s">
        <v>283</v>
      </c>
    </row>
    <row r="46" spans="11:34" x14ac:dyDescent="0.25">
      <c r="K46" t="s">
        <v>154</v>
      </c>
      <c r="L46" t="s">
        <v>73</v>
      </c>
      <c r="M46" t="s">
        <v>78</v>
      </c>
      <c r="N46">
        <f t="shared" si="1"/>
        <v>1610612751</v>
      </c>
      <c r="O46">
        <f t="shared" si="2"/>
        <v>1610612752</v>
      </c>
      <c r="P46" t="str">
        <f>N46&amp;O46</f>
        <v>16106127511610612752</v>
      </c>
      <c r="Q46" t="str">
        <f t="shared" si="3"/>
        <v>16106127521610612751</v>
      </c>
      <c r="AE46" t="s">
        <v>199</v>
      </c>
      <c r="AH46" s="2" t="s">
        <v>281</v>
      </c>
    </row>
    <row r="47" spans="11:34" x14ac:dyDescent="0.25">
      <c r="K47" t="s">
        <v>154</v>
      </c>
      <c r="L47" t="s">
        <v>23</v>
      </c>
      <c r="M47" t="s">
        <v>94</v>
      </c>
      <c r="N47">
        <f t="shared" si="1"/>
        <v>1610612740</v>
      </c>
      <c r="O47">
        <f t="shared" si="2"/>
        <v>1610612756</v>
      </c>
      <c r="P47" t="str">
        <f>N47&amp;O47</f>
        <v>16106127401610612756</v>
      </c>
      <c r="Q47" t="str">
        <f t="shared" si="3"/>
        <v>16106127561610612740</v>
      </c>
      <c r="AE47" t="s">
        <v>200</v>
      </c>
      <c r="AH47" s="2" t="s">
        <v>176</v>
      </c>
    </row>
    <row r="48" spans="11:34" x14ac:dyDescent="0.25">
      <c r="K48" t="s">
        <v>154</v>
      </c>
      <c r="L48" t="s">
        <v>23</v>
      </c>
      <c r="M48" t="s">
        <v>126</v>
      </c>
      <c r="N48">
        <f t="shared" si="1"/>
        <v>1610612740</v>
      </c>
      <c r="O48">
        <f t="shared" si="2"/>
        <v>1610612763</v>
      </c>
      <c r="P48" t="str">
        <f>N48&amp;O48</f>
        <v>16106127401610612763</v>
      </c>
      <c r="Q48" t="str">
        <f t="shared" si="3"/>
        <v>16106127631610612740</v>
      </c>
      <c r="AE48" t="s">
        <v>201</v>
      </c>
      <c r="AH48" s="2" t="s">
        <v>158</v>
      </c>
    </row>
    <row r="49" spans="11:34" x14ac:dyDescent="0.25">
      <c r="K49" t="s">
        <v>154</v>
      </c>
      <c r="L49" t="s">
        <v>23</v>
      </c>
      <c r="M49" t="s">
        <v>56</v>
      </c>
      <c r="N49">
        <f t="shared" si="1"/>
        <v>1610612740</v>
      </c>
      <c r="O49">
        <f t="shared" si="2"/>
        <v>1610612747</v>
      </c>
      <c r="P49" t="str">
        <f>N49&amp;O49</f>
        <v>16106127401610612747</v>
      </c>
      <c r="Q49" t="str">
        <f t="shared" si="3"/>
        <v>16106127471610612740</v>
      </c>
      <c r="AE49" t="s">
        <v>202</v>
      </c>
      <c r="AH49" s="2" t="s">
        <v>156</v>
      </c>
    </row>
    <row r="50" spans="11:34" x14ac:dyDescent="0.25">
      <c r="K50" t="s">
        <v>154</v>
      </c>
      <c r="L50" t="s">
        <v>78</v>
      </c>
      <c r="M50" t="s">
        <v>73</v>
      </c>
      <c r="N50">
        <f t="shared" si="1"/>
        <v>1610612752</v>
      </c>
      <c r="O50">
        <f t="shared" si="2"/>
        <v>1610612751</v>
      </c>
      <c r="P50" t="str">
        <f>N50&amp;O50</f>
        <v>16106127521610612751</v>
      </c>
      <c r="Q50" t="str">
        <f t="shared" si="3"/>
        <v>16106127511610612752</v>
      </c>
      <c r="AE50" t="s">
        <v>203</v>
      </c>
      <c r="AH50" s="2" t="s">
        <v>264</v>
      </c>
    </row>
    <row r="51" spans="11:34" x14ac:dyDescent="0.25">
      <c r="K51" t="s">
        <v>154</v>
      </c>
      <c r="L51" t="s">
        <v>78</v>
      </c>
      <c r="M51" t="s">
        <v>13</v>
      </c>
      <c r="N51">
        <f t="shared" si="1"/>
        <v>1610612752</v>
      </c>
      <c r="O51">
        <f t="shared" si="2"/>
        <v>1610612738</v>
      </c>
      <c r="P51" t="str">
        <f>N51&amp;O51</f>
        <v>16106127521610612738</v>
      </c>
      <c r="Q51" t="str">
        <f t="shared" si="3"/>
        <v>16106127381610612752</v>
      </c>
      <c r="AE51" t="s">
        <v>204</v>
      </c>
      <c r="AH51" s="2" t="s">
        <v>157</v>
      </c>
    </row>
    <row r="52" spans="11:34" x14ac:dyDescent="0.25">
      <c r="K52" t="s">
        <v>154</v>
      </c>
      <c r="L52" t="s">
        <v>78</v>
      </c>
      <c r="M52" t="s">
        <v>8</v>
      </c>
      <c r="N52">
        <f t="shared" si="1"/>
        <v>1610612752</v>
      </c>
      <c r="O52">
        <f t="shared" si="2"/>
        <v>1610612737</v>
      </c>
      <c r="P52" t="str">
        <f>N52&amp;O52</f>
        <v>16106127521610612737</v>
      </c>
      <c r="Q52" t="str">
        <f t="shared" si="3"/>
        <v>16106127371610612752</v>
      </c>
      <c r="AE52" t="s">
        <v>205</v>
      </c>
      <c r="AH52" s="2" t="s">
        <v>155</v>
      </c>
    </row>
    <row r="53" spans="11:34" x14ac:dyDescent="0.25">
      <c r="K53" t="s">
        <v>154</v>
      </c>
      <c r="L53" t="s">
        <v>78</v>
      </c>
      <c r="M53" t="s">
        <v>59</v>
      </c>
      <c r="N53">
        <f t="shared" si="1"/>
        <v>1610612752</v>
      </c>
      <c r="O53">
        <f t="shared" si="2"/>
        <v>1610612748</v>
      </c>
      <c r="P53" t="str">
        <f>N53&amp;O53</f>
        <v>16106127521610612748</v>
      </c>
      <c r="Q53" t="str">
        <f t="shared" si="3"/>
        <v>16106127481610612752</v>
      </c>
      <c r="AE53" t="s">
        <v>206</v>
      </c>
      <c r="AH53" s="2" t="s">
        <v>251</v>
      </c>
    </row>
    <row r="54" spans="11:34" x14ac:dyDescent="0.25">
      <c r="K54" t="s">
        <v>154</v>
      </c>
      <c r="L54" t="s">
        <v>126</v>
      </c>
      <c r="M54" t="s">
        <v>43</v>
      </c>
      <c r="N54">
        <f t="shared" si="1"/>
        <v>1610612763</v>
      </c>
      <c r="O54">
        <f t="shared" si="2"/>
        <v>1610612744</v>
      </c>
      <c r="P54" t="str">
        <f>N54&amp;O54</f>
        <v>16106127631610612744</v>
      </c>
      <c r="Q54" t="str">
        <f t="shared" si="3"/>
        <v>16106127441610612763</v>
      </c>
      <c r="AE54" t="s">
        <v>207</v>
      </c>
      <c r="AH54" s="2" t="s">
        <v>188</v>
      </c>
    </row>
    <row r="55" spans="11:34" x14ac:dyDescent="0.25">
      <c r="K55" t="s">
        <v>154</v>
      </c>
      <c r="L55" t="s">
        <v>126</v>
      </c>
      <c r="M55" t="s">
        <v>23</v>
      </c>
      <c r="N55">
        <f t="shared" si="1"/>
        <v>1610612763</v>
      </c>
      <c r="O55">
        <f t="shared" si="2"/>
        <v>1610612740</v>
      </c>
      <c r="P55" t="str">
        <f>N55&amp;O55</f>
        <v>16106127631610612740</v>
      </c>
      <c r="Q55" t="str">
        <f t="shared" si="3"/>
        <v>16106127401610612763</v>
      </c>
      <c r="AE55" t="s">
        <v>208</v>
      </c>
      <c r="AH55" s="2" t="s">
        <v>187</v>
      </c>
    </row>
    <row r="56" spans="11:34" x14ac:dyDescent="0.25">
      <c r="K56" t="s">
        <v>154</v>
      </c>
      <c r="L56" t="s">
        <v>126</v>
      </c>
      <c r="M56" t="s">
        <v>69</v>
      </c>
      <c r="N56">
        <f t="shared" si="1"/>
        <v>1610612763</v>
      </c>
      <c r="O56">
        <f t="shared" si="2"/>
        <v>1610612750</v>
      </c>
      <c r="P56" t="str">
        <f>N56&amp;O56</f>
        <v>16106127631610612750</v>
      </c>
      <c r="Q56" t="str">
        <f t="shared" si="3"/>
        <v>16106127501610612763</v>
      </c>
      <c r="AE56" t="s">
        <v>209</v>
      </c>
      <c r="AH56" s="2" t="s">
        <v>161</v>
      </c>
    </row>
    <row r="57" spans="11:34" x14ac:dyDescent="0.25">
      <c r="K57" t="s">
        <v>154</v>
      </c>
      <c r="L57" t="s">
        <v>81</v>
      </c>
      <c r="M57" t="s">
        <v>59</v>
      </c>
      <c r="N57">
        <f t="shared" si="1"/>
        <v>1610612753</v>
      </c>
      <c r="O57">
        <f t="shared" si="2"/>
        <v>1610612748</v>
      </c>
      <c r="P57" t="str">
        <f>N57&amp;O57</f>
        <v>16106127531610612748</v>
      </c>
      <c r="Q57" t="str">
        <f t="shared" si="3"/>
        <v>16106127481610612753</v>
      </c>
      <c r="AE57" t="s">
        <v>210</v>
      </c>
      <c r="AH57" s="2" t="s">
        <v>266</v>
      </c>
    </row>
    <row r="58" spans="11:34" x14ac:dyDescent="0.25">
      <c r="K58" t="s">
        <v>154</v>
      </c>
      <c r="L58" t="s">
        <v>81</v>
      </c>
      <c r="M58" t="s">
        <v>117</v>
      </c>
      <c r="N58">
        <f t="shared" si="1"/>
        <v>1610612753</v>
      </c>
      <c r="O58">
        <f t="shared" si="2"/>
        <v>1610612761</v>
      </c>
      <c r="P58" t="str">
        <f>N58&amp;O58</f>
        <v>16106127531610612761</v>
      </c>
      <c r="Q58" t="str">
        <f t="shared" si="3"/>
        <v>16106127611610612753</v>
      </c>
      <c r="AE58" t="s">
        <v>211</v>
      </c>
      <c r="AH58" s="2" t="s">
        <v>284</v>
      </c>
    </row>
    <row r="59" spans="11:34" x14ac:dyDescent="0.25">
      <c r="K59" t="s">
        <v>154</v>
      </c>
      <c r="L59" t="s">
        <v>81</v>
      </c>
      <c r="M59" t="s">
        <v>13</v>
      </c>
      <c r="N59">
        <f t="shared" si="1"/>
        <v>1610612753</v>
      </c>
      <c r="O59">
        <f t="shared" si="2"/>
        <v>1610612738</v>
      </c>
      <c r="P59" t="str">
        <f>N59&amp;O59</f>
        <v>16106127531610612738</v>
      </c>
      <c r="Q59" t="str">
        <f t="shared" si="3"/>
        <v>16106127381610612753</v>
      </c>
      <c r="AE59" t="s">
        <v>212</v>
      </c>
      <c r="AH59" s="2" t="s">
        <v>257</v>
      </c>
    </row>
    <row r="60" spans="11:34" x14ac:dyDescent="0.25">
      <c r="K60" t="s">
        <v>154</v>
      </c>
      <c r="L60" t="s">
        <v>18</v>
      </c>
      <c r="M60" t="s">
        <v>43</v>
      </c>
      <c r="N60">
        <f t="shared" si="1"/>
        <v>1610612739</v>
      </c>
      <c r="O60">
        <f t="shared" si="2"/>
        <v>1610612744</v>
      </c>
      <c r="P60" t="str">
        <f>N60&amp;O60</f>
        <v>16106127391610612744</v>
      </c>
      <c r="Q60" t="str">
        <f t="shared" si="3"/>
        <v>16106127441610612739</v>
      </c>
      <c r="AE60" t="s">
        <v>213</v>
      </c>
      <c r="AH60" s="2" t="s">
        <v>162</v>
      </c>
    </row>
    <row r="61" spans="11:34" x14ac:dyDescent="0.25">
      <c r="K61" t="s">
        <v>154</v>
      </c>
      <c r="L61" t="s">
        <v>18</v>
      </c>
      <c r="M61" t="s">
        <v>117</v>
      </c>
      <c r="N61">
        <f t="shared" si="1"/>
        <v>1610612739</v>
      </c>
      <c r="O61">
        <f t="shared" si="2"/>
        <v>1610612761</v>
      </c>
      <c r="P61" t="str">
        <f>N61&amp;O61</f>
        <v>16106127391610612761</v>
      </c>
      <c r="Q61" t="str">
        <f t="shared" si="3"/>
        <v>16106127611610612739</v>
      </c>
      <c r="AE61" t="s">
        <v>214</v>
      </c>
      <c r="AH61" s="2" t="s">
        <v>262</v>
      </c>
    </row>
    <row r="62" spans="11:34" x14ac:dyDescent="0.25">
      <c r="K62" t="s">
        <v>154</v>
      </c>
      <c r="L62" t="s">
        <v>18</v>
      </c>
      <c r="M62" t="s">
        <v>13</v>
      </c>
      <c r="N62">
        <f t="shared" si="1"/>
        <v>1610612739</v>
      </c>
      <c r="O62">
        <f t="shared" si="2"/>
        <v>1610612738</v>
      </c>
      <c r="P62" t="str">
        <f>N62&amp;O62</f>
        <v>16106127391610612738</v>
      </c>
      <c r="Q62" t="str">
        <f t="shared" si="3"/>
        <v>16106127381610612739</v>
      </c>
      <c r="AE62" t="s">
        <v>215</v>
      </c>
      <c r="AH62" s="2" t="s">
        <v>259</v>
      </c>
    </row>
    <row r="63" spans="11:34" x14ac:dyDescent="0.25">
      <c r="K63" t="s">
        <v>154</v>
      </c>
      <c r="L63" t="s">
        <v>18</v>
      </c>
      <c r="M63" t="s">
        <v>64</v>
      </c>
      <c r="N63">
        <f t="shared" si="1"/>
        <v>1610612739</v>
      </c>
      <c r="O63">
        <f t="shared" si="2"/>
        <v>1610612749</v>
      </c>
      <c r="P63" t="str">
        <f>N63&amp;O63</f>
        <v>16106127391610612749</v>
      </c>
      <c r="Q63" t="str">
        <f t="shared" si="3"/>
        <v>16106127491610612739</v>
      </c>
      <c r="AE63" t="s">
        <v>216</v>
      </c>
      <c r="AH63" s="2" t="s">
        <v>282</v>
      </c>
    </row>
    <row r="64" spans="11:34" x14ac:dyDescent="0.25">
      <c r="K64" t="s">
        <v>154</v>
      </c>
      <c r="L64" t="s">
        <v>85</v>
      </c>
      <c r="M64" t="s">
        <v>59</v>
      </c>
      <c r="N64">
        <f t="shared" si="1"/>
        <v>1610612754</v>
      </c>
      <c r="O64">
        <f t="shared" si="2"/>
        <v>1610612748</v>
      </c>
      <c r="P64" t="str">
        <f>N64&amp;O64</f>
        <v>16106127541610612748</v>
      </c>
      <c r="Q64" t="str">
        <f t="shared" si="3"/>
        <v>16106127481610612754</v>
      </c>
      <c r="AE64" t="s">
        <v>217</v>
      </c>
      <c r="AH64" s="2" t="s">
        <v>263</v>
      </c>
    </row>
    <row r="65" spans="11:34" x14ac:dyDescent="0.25">
      <c r="K65" t="s">
        <v>154</v>
      </c>
      <c r="L65" t="s">
        <v>85</v>
      </c>
      <c r="M65" t="s">
        <v>78</v>
      </c>
      <c r="N65">
        <f t="shared" si="1"/>
        <v>1610612754</v>
      </c>
      <c r="O65">
        <f t="shared" si="2"/>
        <v>1610612752</v>
      </c>
      <c r="P65" t="str">
        <f>N65&amp;O65</f>
        <v>16106127541610612752</v>
      </c>
      <c r="Q65" t="str">
        <f t="shared" si="3"/>
        <v>16106127521610612754</v>
      </c>
      <c r="AE65" t="s">
        <v>218</v>
      </c>
      <c r="AH65" s="2" t="s">
        <v>279</v>
      </c>
    </row>
    <row r="66" spans="11:34" x14ac:dyDescent="0.25">
      <c r="K66" t="s">
        <v>154</v>
      </c>
      <c r="L66" t="s">
        <v>85</v>
      </c>
      <c r="M66" t="s">
        <v>136</v>
      </c>
      <c r="N66">
        <f t="shared" si="1"/>
        <v>1610612754</v>
      </c>
      <c r="O66">
        <f t="shared" si="2"/>
        <v>1610612765</v>
      </c>
      <c r="P66" t="str">
        <f>N66&amp;O66</f>
        <v>16106127541610612765</v>
      </c>
      <c r="Q66" t="str">
        <f t="shared" si="3"/>
        <v>16106127651610612754</v>
      </c>
      <c r="AE66" t="s">
        <v>219</v>
      </c>
      <c r="AH66" s="2" t="s">
        <v>254</v>
      </c>
    </row>
    <row r="67" spans="11:34" x14ac:dyDescent="0.25">
      <c r="K67" t="s">
        <v>154</v>
      </c>
      <c r="L67" t="s">
        <v>85</v>
      </c>
      <c r="M67" t="s">
        <v>28</v>
      </c>
      <c r="N67">
        <f t="shared" si="1"/>
        <v>1610612754</v>
      </c>
      <c r="O67">
        <f t="shared" si="2"/>
        <v>1610612741</v>
      </c>
      <c r="P67" t="str">
        <f>N67&amp;O67</f>
        <v>16106127541610612741</v>
      </c>
      <c r="Q67" t="str">
        <f t="shared" si="3"/>
        <v>16106127411610612754</v>
      </c>
      <c r="AE67" t="s">
        <v>220</v>
      </c>
      <c r="AH67" s="2" t="s">
        <v>185</v>
      </c>
    </row>
    <row r="68" spans="11:34" x14ac:dyDescent="0.25">
      <c r="K68" t="s">
        <v>154</v>
      </c>
      <c r="L68" t="s">
        <v>122</v>
      </c>
      <c r="M68" t="s">
        <v>38</v>
      </c>
      <c r="N68">
        <f t="shared" si="1"/>
        <v>1610612762</v>
      </c>
      <c r="O68">
        <f t="shared" si="2"/>
        <v>1610612743</v>
      </c>
      <c r="P68" t="str">
        <f>N68&amp;O68</f>
        <v>16106127621610612743</v>
      </c>
      <c r="Q68" t="str">
        <f t="shared" si="3"/>
        <v>16106127431610612762</v>
      </c>
      <c r="AE68" t="s">
        <v>221</v>
      </c>
      <c r="AH68" s="2" t="s">
        <v>186</v>
      </c>
    </row>
    <row r="69" spans="11:34" x14ac:dyDescent="0.25">
      <c r="K69" t="s">
        <v>154</v>
      </c>
      <c r="L69" t="s">
        <v>122</v>
      </c>
      <c r="M69" t="s">
        <v>48</v>
      </c>
      <c r="N69">
        <f t="shared" si="1"/>
        <v>1610612762</v>
      </c>
      <c r="O69">
        <f t="shared" si="2"/>
        <v>1610612745</v>
      </c>
      <c r="P69" t="str">
        <f>N69&amp;O69</f>
        <v>16106127621610612745</v>
      </c>
      <c r="Q69" t="str">
        <f t="shared" si="3"/>
        <v>16106127451610612762</v>
      </c>
      <c r="AE69" t="s">
        <v>222</v>
      </c>
      <c r="AH69" s="2" t="s">
        <v>268</v>
      </c>
    </row>
    <row r="70" spans="11:34" x14ac:dyDescent="0.25">
      <c r="K70" t="s">
        <v>154</v>
      </c>
      <c r="L70" t="s">
        <v>122</v>
      </c>
      <c r="M70" t="s">
        <v>56</v>
      </c>
      <c r="N70">
        <f t="shared" si="1"/>
        <v>1610612762</v>
      </c>
      <c r="O70">
        <f t="shared" si="2"/>
        <v>1610612747</v>
      </c>
      <c r="P70" t="str">
        <f>N70&amp;O70</f>
        <v>16106127621610612747</v>
      </c>
      <c r="Q70" t="str">
        <f t="shared" si="3"/>
        <v>16106127471610612762</v>
      </c>
      <c r="AE70" t="s">
        <v>223</v>
      </c>
      <c r="AH70" s="2" t="s">
        <v>269</v>
      </c>
    </row>
    <row r="71" spans="11:34" x14ac:dyDescent="0.25">
      <c r="K71" t="s">
        <v>154</v>
      </c>
      <c r="L71" t="s">
        <v>122</v>
      </c>
      <c r="M71" t="s">
        <v>28</v>
      </c>
      <c r="N71">
        <f t="shared" si="1"/>
        <v>1610612762</v>
      </c>
      <c r="O71">
        <f t="shared" si="2"/>
        <v>1610612741</v>
      </c>
      <c r="P71" t="str">
        <f>N71&amp;O71</f>
        <v>16106127621610612741</v>
      </c>
      <c r="Q71" t="str">
        <f t="shared" si="3"/>
        <v>16106127411610612762</v>
      </c>
      <c r="AE71" t="s">
        <v>224</v>
      </c>
      <c r="AH71" s="2" t="s">
        <v>276</v>
      </c>
    </row>
    <row r="72" spans="11:34" x14ac:dyDescent="0.25">
      <c r="K72" t="s">
        <v>154</v>
      </c>
      <c r="L72" t="s">
        <v>89</v>
      </c>
      <c r="M72" t="s">
        <v>13</v>
      </c>
      <c r="N72">
        <f t="shared" si="1"/>
        <v>1610612755</v>
      </c>
      <c r="O72">
        <f t="shared" si="2"/>
        <v>1610612738</v>
      </c>
      <c r="P72" t="str">
        <f>N72&amp;O72</f>
        <v>16106127551610612738</v>
      </c>
      <c r="Q72" t="str">
        <f t="shared" si="3"/>
        <v>16106127381610612755</v>
      </c>
      <c r="AE72" t="s">
        <v>225</v>
      </c>
      <c r="AH72" s="2" t="s">
        <v>247</v>
      </c>
    </row>
    <row r="73" spans="11:34" x14ac:dyDescent="0.25">
      <c r="K73" t="s">
        <v>154</v>
      </c>
      <c r="L73" t="s">
        <v>89</v>
      </c>
      <c r="M73" t="s">
        <v>73</v>
      </c>
      <c r="N73">
        <f t="shared" si="1"/>
        <v>1610612755</v>
      </c>
      <c r="O73">
        <f t="shared" si="2"/>
        <v>1610612751</v>
      </c>
      <c r="P73" t="str">
        <f>N73&amp;O73</f>
        <v>16106127551610612751</v>
      </c>
      <c r="Q73" t="str">
        <f t="shared" si="3"/>
        <v>16106127511610612755</v>
      </c>
      <c r="AE73" t="s">
        <v>226</v>
      </c>
      <c r="AH73" s="2" t="s">
        <v>228</v>
      </c>
    </row>
    <row r="74" spans="11:34" x14ac:dyDescent="0.25">
      <c r="K74" t="s">
        <v>154</v>
      </c>
      <c r="L74" t="s">
        <v>89</v>
      </c>
      <c r="M74" t="s">
        <v>117</v>
      </c>
      <c r="N74">
        <f t="shared" si="1"/>
        <v>1610612755</v>
      </c>
      <c r="O74">
        <f t="shared" si="2"/>
        <v>1610612761</v>
      </c>
      <c r="P74" t="str">
        <f>N74&amp;O74</f>
        <v>16106127551610612761</v>
      </c>
      <c r="Q74" t="str">
        <f t="shared" si="3"/>
        <v>16106127611610612755</v>
      </c>
      <c r="AE74" t="s">
        <v>227</v>
      </c>
      <c r="AH74" s="2" t="s">
        <v>275</v>
      </c>
    </row>
    <row r="75" spans="11:34" x14ac:dyDescent="0.25">
      <c r="K75" t="s">
        <v>154</v>
      </c>
      <c r="L75" t="s">
        <v>64</v>
      </c>
      <c r="M75" t="s">
        <v>13</v>
      </c>
      <c r="N75">
        <f t="shared" si="1"/>
        <v>1610612749</v>
      </c>
      <c r="O75">
        <f t="shared" si="2"/>
        <v>1610612738</v>
      </c>
      <c r="P75" t="str">
        <f>N75&amp;O75</f>
        <v>16106127491610612738</v>
      </c>
      <c r="Q75" t="str">
        <f t="shared" si="3"/>
        <v>16106127381610612749</v>
      </c>
      <c r="AE75" t="s">
        <v>228</v>
      </c>
      <c r="AH75" s="2" t="s">
        <v>229</v>
      </c>
    </row>
    <row r="76" spans="11:34" x14ac:dyDescent="0.25">
      <c r="K76" t="s">
        <v>154</v>
      </c>
      <c r="L76" t="s">
        <v>64</v>
      </c>
      <c r="M76" t="s">
        <v>28</v>
      </c>
      <c r="N76">
        <f t="shared" si="1"/>
        <v>1610612749</v>
      </c>
      <c r="O76">
        <f t="shared" si="2"/>
        <v>1610612741</v>
      </c>
      <c r="P76" t="str">
        <f>N76&amp;O76</f>
        <v>16106127491610612741</v>
      </c>
      <c r="Q76" t="str">
        <f t="shared" si="3"/>
        <v>16106127411610612749</v>
      </c>
      <c r="AE76" t="s">
        <v>229</v>
      </c>
      <c r="AH76" s="2" t="s">
        <v>230</v>
      </c>
    </row>
    <row r="77" spans="11:34" x14ac:dyDescent="0.25">
      <c r="K77" t="s">
        <v>154</v>
      </c>
      <c r="L77" t="s">
        <v>64</v>
      </c>
      <c r="M77" t="s">
        <v>59</v>
      </c>
      <c r="N77">
        <f t="shared" si="1"/>
        <v>1610612749</v>
      </c>
      <c r="O77">
        <f t="shared" si="2"/>
        <v>1610612748</v>
      </c>
      <c r="P77" t="str">
        <f>N77&amp;O77</f>
        <v>16106127491610612748</v>
      </c>
      <c r="Q77" t="str">
        <f t="shared" si="3"/>
        <v>16106127481610612749</v>
      </c>
      <c r="AE77" t="s">
        <v>230</v>
      </c>
      <c r="AH77" s="2" t="s">
        <v>190</v>
      </c>
    </row>
    <row r="78" spans="11:34" x14ac:dyDescent="0.25">
      <c r="K78" t="s">
        <v>154</v>
      </c>
      <c r="L78" t="s">
        <v>13</v>
      </c>
      <c r="M78" t="s">
        <v>56</v>
      </c>
      <c r="N78">
        <f t="shared" si="1"/>
        <v>1610612738</v>
      </c>
      <c r="O78">
        <f t="shared" si="2"/>
        <v>1610612747</v>
      </c>
      <c r="P78" t="str">
        <f>N78&amp;O78</f>
        <v>16106127381610612747</v>
      </c>
      <c r="Q78" t="str">
        <f t="shared" si="3"/>
        <v>16106127471610612738</v>
      </c>
      <c r="AE78" t="s">
        <v>231</v>
      </c>
      <c r="AH78" s="2" t="s">
        <v>189</v>
      </c>
    </row>
    <row r="79" spans="11:34" x14ac:dyDescent="0.25">
      <c r="K79" t="s">
        <v>154</v>
      </c>
      <c r="L79" t="s">
        <v>13</v>
      </c>
      <c r="M79" t="s">
        <v>64</v>
      </c>
      <c r="N79">
        <f t="shared" si="1"/>
        <v>1610612738</v>
      </c>
      <c r="O79">
        <f t="shared" si="2"/>
        <v>1610612749</v>
      </c>
      <c r="P79" t="str">
        <f>N79&amp;O79</f>
        <v>16106127381610612749</v>
      </c>
      <c r="Q79" t="str">
        <f t="shared" si="3"/>
        <v>16106127491610612738</v>
      </c>
      <c r="AE79" t="s">
        <v>232</v>
      </c>
      <c r="AH79" s="2" t="s">
        <v>197</v>
      </c>
    </row>
    <row r="80" spans="11:34" x14ac:dyDescent="0.25">
      <c r="K80" t="s">
        <v>154</v>
      </c>
      <c r="L80" t="s">
        <v>13</v>
      </c>
      <c r="M80" t="s">
        <v>43</v>
      </c>
      <c r="N80">
        <f t="shared" si="1"/>
        <v>1610612738</v>
      </c>
      <c r="O80">
        <f t="shared" si="2"/>
        <v>1610612744</v>
      </c>
      <c r="P80" t="str">
        <f>N80&amp;O80</f>
        <v>16106127381610612744</v>
      </c>
      <c r="Q80" t="str">
        <f t="shared" si="3"/>
        <v>16106127441610612738</v>
      </c>
      <c r="AE80" t="s">
        <v>233</v>
      </c>
      <c r="AH80" s="2" t="s">
        <v>199</v>
      </c>
    </row>
    <row r="81" spans="11:34" x14ac:dyDescent="0.25">
      <c r="K81" t="s">
        <v>154</v>
      </c>
      <c r="L81" t="s">
        <v>13</v>
      </c>
      <c r="M81" t="s">
        <v>89</v>
      </c>
      <c r="N81">
        <f t="shared" si="1"/>
        <v>1610612738</v>
      </c>
      <c r="O81">
        <f t="shared" si="2"/>
        <v>1610612755</v>
      </c>
      <c r="P81" t="str">
        <f>N81&amp;O81</f>
        <v>16106127381610612755</v>
      </c>
      <c r="Q81" t="str">
        <f t="shared" si="3"/>
        <v>16106127551610612738</v>
      </c>
      <c r="AE81" t="s">
        <v>234</v>
      </c>
      <c r="AH81" s="2" t="s">
        <v>198</v>
      </c>
    </row>
    <row r="82" spans="11:34" x14ac:dyDescent="0.25">
      <c r="K82" t="s">
        <v>154</v>
      </c>
      <c r="L82" t="s">
        <v>112</v>
      </c>
      <c r="M82" t="s">
        <v>48</v>
      </c>
      <c r="N82">
        <f t="shared" si="1"/>
        <v>1610612760</v>
      </c>
      <c r="O82">
        <f t="shared" si="2"/>
        <v>1610612745</v>
      </c>
      <c r="P82" t="str">
        <f>N82&amp;O82</f>
        <v>16106127601610612745</v>
      </c>
      <c r="Q82" t="str">
        <f t="shared" si="3"/>
        <v>16106127451610612760</v>
      </c>
      <c r="AE82" t="s">
        <v>235</v>
      </c>
      <c r="AH82" s="2" t="s">
        <v>205</v>
      </c>
    </row>
    <row r="83" spans="11:34" x14ac:dyDescent="0.25">
      <c r="K83" t="s">
        <v>154</v>
      </c>
      <c r="L83" t="s">
        <v>112</v>
      </c>
      <c r="M83" t="s">
        <v>43</v>
      </c>
      <c r="N83">
        <f t="shared" si="1"/>
        <v>1610612760</v>
      </c>
      <c r="O83">
        <f t="shared" si="2"/>
        <v>1610612744</v>
      </c>
      <c r="P83" t="str">
        <f>N83&amp;O83</f>
        <v>16106127601610612744</v>
      </c>
      <c r="Q83" t="str">
        <f t="shared" si="3"/>
        <v>16106127441610612760</v>
      </c>
      <c r="AE83" t="s">
        <v>236</v>
      </c>
      <c r="AH83" s="2" t="s">
        <v>204</v>
      </c>
    </row>
    <row r="84" spans="11:34" x14ac:dyDescent="0.25">
      <c r="K84" t="s">
        <v>154</v>
      </c>
      <c r="L84" t="s">
        <v>104</v>
      </c>
      <c r="M84" t="s">
        <v>56</v>
      </c>
      <c r="N84">
        <f t="shared" si="1"/>
        <v>1610612758</v>
      </c>
      <c r="O84">
        <f t="shared" si="2"/>
        <v>1610612747</v>
      </c>
      <c r="P84" t="str">
        <f>N84&amp;O84</f>
        <v>16106127581610612747</v>
      </c>
      <c r="Q84" t="str">
        <f t="shared" si="3"/>
        <v>16106127471610612758</v>
      </c>
      <c r="AE84" t="s">
        <v>237</v>
      </c>
      <c r="AH84" s="2" t="s">
        <v>256</v>
      </c>
    </row>
    <row r="85" spans="11:34" x14ac:dyDescent="0.25">
      <c r="K85" t="s">
        <v>154</v>
      </c>
      <c r="L85" t="s">
        <v>104</v>
      </c>
      <c r="M85" t="s">
        <v>43</v>
      </c>
      <c r="N85">
        <f t="shared" si="1"/>
        <v>1610612758</v>
      </c>
      <c r="O85">
        <f t="shared" si="2"/>
        <v>1610612744</v>
      </c>
      <c r="P85" t="str">
        <f>N85&amp;O85</f>
        <v>16106127581610612744</v>
      </c>
      <c r="Q85" t="str">
        <f t="shared" si="3"/>
        <v>16106127441610612758</v>
      </c>
      <c r="AE85" t="s">
        <v>238</v>
      </c>
      <c r="AH85" s="2" t="s">
        <v>206</v>
      </c>
    </row>
    <row r="86" spans="11:34" x14ac:dyDescent="0.25">
      <c r="K86" t="s">
        <v>154</v>
      </c>
      <c r="L86" t="s">
        <v>38</v>
      </c>
      <c r="M86" t="s">
        <v>99</v>
      </c>
      <c r="N86">
        <f t="shared" si="1"/>
        <v>1610612743</v>
      </c>
      <c r="O86">
        <f t="shared" si="2"/>
        <v>1610612757</v>
      </c>
      <c r="P86" t="str">
        <f>N86&amp;O86</f>
        <v>16106127431610612757</v>
      </c>
      <c r="Q86" t="str">
        <f t="shared" si="3"/>
        <v>16106127571610612743</v>
      </c>
      <c r="AE86" t="s">
        <v>239</v>
      </c>
      <c r="AH86" s="2" t="s">
        <v>203</v>
      </c>
    </row>
    <row r="87" spans="11:34" x14ac:dyDescent="0.25">
      <c r="K87" t="s">
        <v>154</v>
      </c>
      <c r="L87" t="s">
        <v>38</v>
      </c>
      <c r="M87" t="s">
        <v>56</v>
      </c>
      <c r="N87">
        <f t="shared" si="1"/>
        <v>1610612743</v>
      </c>
      <c r="O87">
        <f t="shared" si="2"/>
        <v>1610612747</v>
      </c>
      <c r="P87" t="str">
        <f>N87&amp;O87</f>
        <v>16106127431610612747</v>
      </c>
      <c r="Q87" t="str">
        <f t="shared" si="3"/>
        <v>16106127471610612743</v>
      </c>
      <c r="AE87" t="s">
        <v>240</v>
      </c>
      <c r="AH87" s="2" t="s">
        <v>277</v>
      </c>
    </row>
    <row r="88" spans="11:34" x14ac:dyDescent="0.25">
      <c r="K88" t="s">
        <v>154</v>
      </c>
      <c r="L88" t="s">
        <v>38</v>
      </c>
      <c r="M88" t="s">
        <v>89</v>
      </c>
      <c r="N88">
        <f t="shared" si="1"/>
        <v>1610612743</v>
      </c>
      <c r="O88">
        <f t="shared" si="2"/>
        <v>1610612755</v>
      </c>
      <c r="P88" t="str">
        <f>N88&amp;O88</f>
        <v>16106127431610612755</v>
      </c>
      <c r="Q88" t="str">
        <f t="shared" si="3"/>
        <v>16106127551610612743</v>
      </c>
      <c r="AE88" t="s">
        <v>241</v>
      </c>
      <c r="AH88" s="2" t="s">
        <v>212</v>
      </c>
    </row>
    <row r="89" spans="11:34" x14ac:dyDescent="0.25">
      <c r="K89" t="s">
        <v>154</v>
      </c>
      <c r="L89" t="s">
        <v>38</v>
      </c>
      <c r="M89" t="s">
        <v>94</v>
      </c>
      <c r="N89">
        <f t="shared" si="1"/>
        <v>1610612743</v>
      </c>
      <c r="O89">
        <f t="shared" si="2"/>
        <v>1610612756</v>
      </c>
      <c r="P89" t="str">
        <f>N89&amp;O89</f>
        <v>16106127431610612756</v>
      </c>
      <c r="Q89" t="str">
        <f t="shared" si="3"/>
        <v>16106127561610612743</v>
      </c>
      <c r="AE89" t="s">
        <v>242</v>
      </c>
      <c r="AH89" s="2" t="s">
        <v>210</v>
      </c>
    </row>
    <row r="90" spans="11:34" x14ac:dyDescent="0.25">
      <c r="K90" t="s">
        <v>154</v>
      </c>
      <c r="L90" t="s">
        <v>38</v>
      </c>
      <c r="M90" t="s">
        <v>122</v>
      </c>
      <c r="N90">
        <f t="shared" si="1"/>
        <v>1610612743</v>
      </c>
      <c r="O90">
        <f t="shared" si="2"/>
        <v>1610612762</v>
      </c>
      <c r="P90" t="str">
        <f>N90&amp;O90</f>
        <v>16106127431610612762</v>
      </c>
      <c r="Q90" t="str">
        <f t="shared" si="3"/>
        <v>16106127621610612743</v>
      </c>
      <c r="AE90" t="s">
        <v>243</v>
      </c>
      <c r="AH90" s="2" t="s">
        <v>211</v>
      </c>
    </row>
    <row r="91" spans="11:34" x14ac:dyDescent="0.25">
      <c r="AE91" t="s">
        <v>222</v>
      </c>
      <c r="AH91" s="2" t="s">
        <v>250</v>
      </c>
    </row>
    <row r="92" spans="11:34" x14ac:dyDescent="0.25">
      <c r="AE92" t="s">
        <v>244</v>
      </c>
      <c r="AH92" s="2" t="s">
        <v>220</v>
      </c>
    </row>
    <row r="93" spans="11:34" x14ac:dyDescent="0.25">
      <c r="AE93" t="s">
        <v>235</v>
      </c>
      <c r="AH93" s="2" t="s">
        <v>217</v>
      </c>
    </row>
    <row r="94" spans="11:34" x14ac:dyDescent="0.25">
      <c r="AE94" t="s">
        <v>245</v>
      </c>
      <c r="AH94" s="2" t="s">
        <v>218</v>
      </c>
    </row>
    <row r="95" spans="11:34" x14ac:dyDescent="0.25">
      <c r="AE95" t="s">
        <v>246</v>
      </c>
      <c r="AH95" s="2" t="s">
        <v>219</v>
      </c>
    </row>
    <row r="96" spans="11:34" x14ac:dyDescent="0.25">
      <c r="AE96" t="s">
        <v>247</v>
      </c>
      <c r="AH96" s="2" t="s">
        <v>225</v>
      </c>
    </row>
    <row r="97" spans="31:34" x14ac:dyDescent="0.25">
      <c r="AE97" t="s">
        <v>231</v>
      </c>
      <c r="AH97" s="2" t="s">
        <v>285</v>
      </c>
    </row>
    <row r="98" spans="31:34" x14ac:dyDescent="0.25">
      <c r="AE98" t="s">
        <v>187</v>
      </c>
      <c r="AH98" s="2" t="s">
        <v>226</v>
      </c>
    </row>
    <row r="99" spans="31:34" x14ac:dyDescent="0.25">
      <c r="AE99" t="s">
        <v>227</v>
      </c>
      <c r="AH99" s="2" t="s">
        <v>227</v>
      </c>
    </row>
    <row r="100" spans="31:34" x14ac:dyDescent="0.25">
      <c r="AE100" t="s">
        <v>248</v>
      </c>
      <c r="AH100" s="2" t="s">
        <v>253</v>
      </c>
    </row>
    <row r="101" spans="31:34" x14ac:dyDescent="0.25">
      <c r="AE101" t="s">
        <v>249</v>
      </c>
      <c r="AH101" s="2" t="s">
        <v>193</v>
      </c>
    </row>
    <row r="102" spans="31:34" x14ac:dyDescent="0.25">
      <c r="AE102" t="s">
        <v>250</v>
      </c>
      <c r="AH102" s="2" t="s">
        <v>191</v>
      </c>
    </row>
    <row r="103" spans="31:34" x14ac:dyDescent="0.25">
      <c r="AE103" t="s">
        <v>219</v>
      </c>
      <c r="AH103" s="2" t="s">
        <v>286</v>
      </c>
    </row>
    <row r="104" spans="31:34" x14ac:dyDescent="0.25">
      <c r="AE104" t="s">
        <v>251</v>
      </c>
      <c r="AH104" s="2" t="s">
        <v>258</v>
      </c>
    </row>
    <row r="105" spans="31:34" x14ac:dyDescent="0.25">
      <c r="AE105" t="s">
        <v>252</v>
      </c>
      <c r="AH105" s="2" t="s">
        <v>192</v>
      </c>
    </row>
    <row r="106" spans="31:34" x14ac:dyDescent="0.25">
      <c r="AE106" t="s">
        <v>253</v>
      </c>
      <c r="AH106" s="2" t="s">
        <v>183</v>
      </c>
    </row>
    <row r="107" spans="31:34" x14ac:dyDescent="0.25">
      <c r="AE107" t="s">
        <v>205</v>
      </c>
      <c r="AH107" s="2" t="s">
        <v>184</v>
      </c>
    </row>
    <row r="108" spans="31:34" x14ac:dyDescent="0.25">
      <c r="AE108" t="s">
        <v>254</v>
      </c>
      <c r="AH108" s="2" t="s">
        <v>238</v>
      </c>
    </row>
    <row r="109" spans="31:34" x14ac:dyDescent="0.25">
      <c r="AE109" t="s">
        <v>255</v>
      </c>
      <c r="AH109" s="2" t="s">
        <v>237</v>
      </c>
    </row>
    <row r="110" spans="31:34" x14ac:dyDescent="0.25">
      <c r="AE110" t="s">
        <v>229</v>
      </c>
      <c r="AH110" s="2" t="s">
        <v>196</v>
      </c>
    </row>
    <row r="111" spans="31:34" x14ac:dyDescent="0.25">
      <c r="AE111" t="s">
        <v>256</v>
      </c>
      <c r="AH111" s="2" t="s">
        <v>195</v>
      </c>
    </row>
    <row r="112" spans="31:34" x14ac:dyDescent="0.25">
      <c r="AE112" t="s">
        <v>207</v>
      </c>
      <c r="AH112" s="2" t="s">
        <v>194</v>
      </c>
    </row>
    <row r="113" spans="31:34" x14ac:dyDescent="0.25">
      <c r="AE113" t="s">
        <v>233</v>
      </c>
      <c r="AH113" s="2" t="s">
        <v>236</v>
      </c>
    </row>
    <row r="114" spans="31:34" x14ac:dyDescent="0.25">
      <c r="AE114" t="s">
        <v>257</v>
      </c>
      <c r="AH114" s="2" t="s">
        <v>235</v>
      </c>
    </row>
    <row r="115" spans="31:34" x14ac:dyDescent="0.25">
      <c r="AE115" t="s">
        <v>258</v>
      </c>
      <c r="AH115" s="2" t="s">
        <v>164</v>
      </c>
    </row>
    <row r="116" spans="31:34" x14ac:dyDescent="0.25">
      <c r="AE116" t="s">
        <v>188</v>
      </c>
      <c r="AH116" s="2" t="s">
        <v>273</v>
      </c>
    </row>
    <row r="117" spans="31:34" x14ac:dyDescent="0.25">
      <c r="AE117" t="s">
        <v>191</v>
      </c>
      <c r="AH117" s="2" t="s">
        <v>270</v>
      </c>
    </row>
    <row r="118" spans="31:34" x14ac:dyDescent="0.25">
      <c r="AE118" t="s">
        <v>196</v>
      </c>
      <c r="AH118" s="2" t="s">
        <v>163</v>
      </c>
    </row>
    <row r="119" spans="31:34" x14ac:dyDescent="0.25">
      <c r="AE119" t="s">
        <v>239</v>
      </c>
      <c r="AH119" s="2" t="s">
        <v>224</v>
      </c>
    </row>
    <row r="120" spans="31:34" x14ac:dyDescent="0.25">
      <c r="AE120" t="s">
        <v>259</v>
      </c>
      <c r="AH120" s="2" t="s">
        <v>221</v>
      </c>
    </row>
    <row r="121" spans="31:34" x14ac:dyDescent="0.25">
      <c r="AE121" t="s">
        <v>260</v>
      </c>
      <c r="AH121" s="2" t="s">
        <v>222</v>
      </c>
    </row>
    <row r="122" spans="31:34" x14ac:dyDescent="0.25">
      <c r="AE122" t="s">
        <v>230</v>
      </c>
      <c r="AH122" s="2" t="s">
        <v>223</v>
      </c>
    </row>
    <row r="123" spans="31:34" x14ac:dyDescent="0.25">
      <c r="AE123" t="s">
        <v>162</v>
      </c>
      <c r="AH123" s="2" t="s">
        <v>208</v>
      </c>
    </row>
    <row r="124" spans="31:34" x14ac:dyDescent="0.25">
      <c r="AE124" t="s">
        <v>180</v>
      </c>
      <c r="AH124" s="2" t="s">
        <v>207</v>
      </c>
    </row>
    <row r="125" spans="31:34" x14ac:dyDescent="0.25">
      <c r="AE125" t="s">
        <v>209</v>
      </c>
      <c r="AH125" s="2" t="s">
        <v>209</v>
      </c>
    </row>
    <row r="126" spans="31:34" x14ac:dyDescent="0.25">
      <c r="AE126" t="s">
        <v>261</v>
      </c>
      <c r="AH126" s="2" t="s">
        <v>169</v>
      </c>
    </row>
    <row r="127" spans="31:34" x14ac:dyDescent="0.25">
      <c r="AE127" t="s">
        <v>181</v>
      </c>
      <c r="AH127" s="2" t="s">
        <v>170</v>
      </c>
    </row>
    <row r="128" spans="31:34" x14ac:dyDescent="0.25">
      <c r="AE128" t="s">
        <v>262</v>
      </c>
      <c r="AH128" s="2" t="s">
        <v>165</v>
      </c>
    </row>
    <row r="129" spans="31:34" x14ac:dyDescent="0.25">
      <c r="AE129" t="s">
        <v>200</v>
      </c>
      <c r="AH129" s="2" t="s">
        <v>168</v>
      </c>
    </row>
    <row r="130" spans="31:34" x14ac:dyDescent="0.25">
      <c r="AE130" t="s">
        <v>263</v>
      </c>
      <c r="AH130" s="2" t="s">
        <v>166</v>
      </c>
    </row>
    <row r="131" spans="31:34" x14ac:dyDescent="0.25">
      <c r="AE131" t="s">
        <v>264</v>
      </c>
      <c r="AH131" s="2" t="s">
        <v>167</v>
      </c>
    </row>
    <row r="132" spans="31:34" x14ac:dyDescent="0.25">
      <c r="AE132" t="s">
        <v>182</v>
      </c>
      <c r="AH132" s="2" t="s">
        <v>159</v>
      </c>
    </row>
    <row r="133" spans="31:34" x14ac:dyDescent="0.25">
      <c r="AE133" t="s">
        <v>265</v>
      </c>
      <c r="AH133" s="2" t="s">
        <v>160</v>
      </c>
    </row>
    <row r="134" spans="31:34" x14ac:dyDescent="0.25">
      <c r="AE134" t="s">
        <v>226</v>
      </c>
      <c r="AH134" s="2" t="s">
        <v>289</v>
      </c>
    </row>
    <row r="135" spans="31:34" x14ac:dyDescent="0.25">
      <c r="AE135" t="s">
        <v>203</v>
      </c>
    </row>
    <row r="136" spans="31:34" x14ac:dyDescent="0.25">
      <c r="AE136" t="s">
        <v>193</v>
      </c>
    </row>
    <row r="137" spans="31:34" x14ac:dyDescent="0.25">
      <c r="AE137" t="s">
        <v>208</v>
      </c>
    </row>
    <row r="138" spans="31:34" x14ac:dyDescent="0.25">
      <c r="AE138" t="s">
        <v>266</v>
      </c>
    </row>
    <row r="139" spans="31:34" x14ac:dyDescent="0.25">
      <c r="AE139" t="s">
        <v>199</v>
      </c>
    </row>
    <row r="140" spans="31:34" x14ac:dyDescent="0.25">
      <c r="AE140" t="s">
        <v>267</v>
      </c>
    </row>
    <row r="141" spans="31:34" x14ac:dyDescent="0.25">
      <c r="AE141" t="s">
        <v>171</v>
      </c>
    </row>
    <row r="142" spans="31:34" x14ac:dyDescent="0.25">
      <c r="AE142" t="s">
        <v>268</v>
      </c>
    </row>
    <row r="143" spans="31:34" x14ac:dyDescent="0.25">
      <c r="AE143" t="s">
        <v>176</v>
      </c>
    </row>
    <row r="144" spans="31:34" x14ac:dyDescent="0.25">
      <c r="AE144" t="s">
        <v>201</v>
      </c>
    </row>
    <row r="145" spans="31:31" x14ac:dyDescent="0.25">
      <c r="AE145" t="s">
        <v>189</v>
      </c>
    </row>
    <row r="146" spans="31:31" x14ac:dyDescent="0.25">
      <c r="AE146" t="s">
        <v>269</v>
      </c>
    </row>
    <row r="147" spans="31:31" x14ac:dyDescent="0.25">
      <c r="AE147" t="s">
        <v>270</v>
      </c>
    </row>
    <row r="148" spans="31:31" x14ac:dyDescent="0.25">
      <c r="AE148" t="s">
        <v>271</v>
      </c>
    </row>
    <row r="149" spans="31:31" x14ac:dyDescent="0.25">
      <c r="AE149" t="s">
        <v>272</v>
      </c>
    </row>
    <row r="150" spans="31:31" x14ac:dyDescent="0.25">
      <c r="AE150" t="s">
        <v>273</v>
      </c>
    </row>
    <row r="151" spans="31:31" x14ac:dyDescent="0.25">
      <c r="AE151" t="s">
        <v>274</v>
      </c>
    </row>
    <row r="152" spans="31:31" x14ac:dyDescent="0.25">
      <c r="AE152" t="s">
        <v>275</v>
      </c>
    </row>
    <row r="153" spans="31:31" x14ac:dyDescent="0.25">
      <c r="AE153" t="s">
        <v>276</v>
      </c>
    </row>
    <row r="154" spans="31:31" x14ac:dyDescent="0.25">
      <c r="AE154" t="s">
        <v>277</v>
      </c>
    </row>
    <row r="155" spans="31:31" x14ac:dyDescent="0.25">
      <c r="AE155" t="s">
        <v>167</v>
      </c>
    </row>
    <row r="156" spans="31:31" x14ac:dyDescent="0.25">
      <c r="AE156" t="s">
        <v>278</v>
      </c>
    </row>
    <row r="157" spans="31:31" x14ac:dyDescent="0.25">
      <c r="AE157" t="s">
        <v>243</v>
      </c>
    </row>
    <row r="158" spans="31:31" x14ac:dyDescent="0.25">
      <c r="AE158" t="s">
        <v>155</v>
      </c>
    </row>
    <row r="159" spans="31:31" x14ac:dyDescent="0.25">
      <c r="AE159" t="s">
        <v>279</v>
      </c>
    </row>
    <row r="160" spans="31:31" x14ac:dyDescent="0.25">
      <c r="AE160" t="s">
        <v>280</v>
      </c>
    </row>
    <row r="161" spans="31:31" x14ac:dyDescent="0.25">
      <c r="AE161" t="s">
        <v>234</v>
      </c>
    </row>
    <row r="162" spans="31:31" x14ac:dyDescent="0.25">
      <c r="AE162" t="s">
        <v>198</v>
      </c>
    </row>
    <row r="163" spans="31:31" x14ac:dyDescent="0.25">
      <c r="AE163" t="s">
        <v>163</v>
      </c>
    </row>
    <row r="164" spans="31:31" x14ac:dyDescent="0.25">
      <c r="AE164" t="s">
        <v>232</v>
      </c>
    </row>
    <row r="165" spans="31:31" x14ac:dyDescent="0.25">
      <c r="AE165" t="s">
        <v>174</v>
      </c>
    </row>
    <row r="166" spans="31:31" x14ac:dyDescent="0.25">
      <c r="AE166" t="s">
        <v>186</v>
      </c>
    </row>
    <row r="167" spans="31:31" x14ac:dyDescent="0.25">
      <c r="AE167" t="s">
        <v>161</v>
      </c>
    </row>
    <row r="168" spans="31:31" x14ac:dyDescent="0.25">
      <c r="AE168" t="s">
        <v>228</v>
      </c>
    </row>
    <row r="169" spans="31:31" x14ac:dyDescent="0.25">
      <c r="AE169" t="s">
        <v>177</v>
      </c>
    </row>
    <row r="170" spans="31:31" x14ac:dyDescent="0.25">
      <c r="AE170" t="s">
        <v>225</v>
      </c>
    </row>
    <row r="171" spans="31:31" x14ac:dyDescent="0.25">
      <c r="AE171" t="s">
        <v>157</v>
      </c>
    </row>
    <row r="172" spans="31:31" x14ac:dyDescent="0.25">
      <c r="AE172" t="s">
        <v>281</v>
      </c>
    </row>
    <row r="173" spans="31:31" x14ac:dyDescent="0.25">
      <c r="AE173" t="s">
        <v>282</v>
      </c>
    </row>
    <row r="174" spans="31:31" x14ac:dyDescent="0.25">
      <c r="AE174" t="s">
        <v>283</v>
      </c>
    </row>
    <row r="175" spans="31:31" x14ac:dyDescent="0.25">
      <c r="AE175" t="s">
        <v>183</v>
      </c>
    </row>
    <row r="176" spans="31:31" x14ac:dyDescent="0.25">
      <c r="AE176" t="s">
        <v>284</v>
      </c>
    </row>
    <row r="177" spans="31:31" x14ac:dyDescent="0.25">
      <c r="AE177" t="s">
        <v>285</v>
      </c>
    </row>
    <row r="178" spans="31:31" x14ac:dyDescent="0.25">
      <c r="AE178" t="s">
        <v>286</v>
      </c>
    </row>
    <row r="179" spans="31:31" x14ac:dyDescent="0.25">
      <c r="AE179" t="s">
        <v>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C3934-EA95-422F-9751-D2B4F3DDCEF0}">
  <dimension ref="A1:A133"/>
  <sheetViews>
    <sheetView tabSelected="1" workbookViewId="0"/>
  </sheetViews>
  <sheetFormatPr defaultRowHeight="15" x14ac:dyDescent="0.25"/>
  <sheetData>
    <row r="1" spans="1:1" x14ac:dyDescent="0.25">
      <c r="A1" t="s">
        <v>290</v>
      </c>
    </row>
    <row r="2" spans="1:1" x14ac:dyDescent="0.25">
      <c r="A2" s="2" t="s">
        <v>173</v>
      </c>
    </row>
    <row r="3" spans="1:1" x14ac:dyDescent="0.25">
      <c r="A3" s="2" t="s">
        <v>172</v>
      </c>
    </row>
    <row r="4" spans="1:1" x14ac:dyDescent="0.25">
      <c r="A4" s="2" t="s">
        <v>171</v>
      </c>
    </row>
    <row r="5" spans="1:1" x14ac:dyDescent="0.25">
      <c r="A5" s="2" t="s">
        <v>246</v>
      </c>
    </row>
    <row r="6" spans="1:1" x14ac:dyDescent="0.25">
      <c r="A6" s="2" t="s">
        <v>255</v>
      </c>
    </row>
    <row r="7" spans="1:1" x14ac:dyDescent="0.25">
      <c r="A7" s="2" t="s">
        <v>274</v>
      </c>
    </row>
    <row r="8" spans="1:1" x14ac:dyDescent="0.25">
      <c r="A8" s="2" t="s">
        <v>233</v>
      </c>
    </row>
    <row r="9" spans="1:1" x14ac:dyDescent="0.25">
      <c r="A9" s="2" t="s">
        <v>231</v>
      </c>
    </row>
    <row r="10" spans="1:1" x14ac:dyDescent="0.25">
      <c r="A10" s="2" t="s">
        <v>260</v>
      </c>
    </row>
    <row r="11" spans="1:1" x14ac:dyDescent="0.25">
      <c r="A11" s="2" t="s">
        <v>232</v>
      </c>
    </row>
    <row r="12" spans="1:1" x14ac:dyDescent="0.25">
      <c r="A12" s="2" t="s">
        <v>265</v>
      </c>
    </row>
    <row r="13" spans="1:1" x14ac:dyDescent="0.25">
      <c r="A13" s="2" t="s">
        <v>267</v>
      </c>
    </row>
    <row r="14" spans="1:1" x14ac:dyDescent="0.25">
      <c r="A14" s="2" t="s">
        <v>271</v>
      </c>
    </row>
    <row r="15" spans="1:1" x14ac:dyDescent="0.25">
      <c r="A15" s="2" t="s">
        <v>234</v>
      </c>
    </row>
    <row r="16" spans="1:1" x14ac:dyDescent="0.25">
      <c r="A16" s="2" t="s">
        <v>248</v>
      </c>
    </row>
    <row r="17" spans="1:1" x14ac:dyDescent="0.25">
      <c r="A17" s="2" t="s">
        <v>252</v>
      </c>
    </row>
    <row r="18" spans="1:1" x14ac:dyDescent="0.25">
      <c r="A18" s="2" t="s">
        <v>215</v>
      </c>
    </row>
    <row r="19" spans="1:1" x14ac:dyDescent="0.25">
      <c r="A19" s="2" t="s">
        <v>213</v>
      </c>
    </row>
    <row r="20" spans="1:1" x14ac:dyDescent="0.25">
      <c r="A20" s="2" t="s">
        <v>216</v>
      </c>
    </row>
    <row r="21" spans="1:1" x14ac:dyDescent="0.25">
      <c r="A21" s="2" t="s">
        <v>214</v>
      </c>
    </row>
    <row r="22" spans="1:1" x14ac:dyDescent="0.25">
      <c r="A22" s="2" t="s">
        <v>202</v>
      </c>
    </row>
    <row r="23" spans="1:1" x14ac:dyDescent="0.25">
      <c r="A23" s="2" t="s">
        <v>200</v>
      </c>
    </row>
    <row r="24" spans="1:1" x14ac:dyDescent="0.25">
      <c r="A24" s="2" t="s">
        <v>201</v>
      </c>
    </row>
    <row r="25" spans="1:1" x14ac:dyDescent="0.25">
      <c r="A25" s="2" t="s">
        <v>174</v>
      </c>
    </row>
    <row r="26" spans="1:1" x14ac:dyDescent="0.25">
      <c r="A26" s="2" t="s">
        <v>175</v>
      </c>
    </row>
    <row r="27" spans="1:1" x14ac:dyDescent="0.25">
      <c r="A27" s="2" t="s">
        <v>278</v>
      </c>
    </row>
    <row r="28" spans="1:1" x14ac:dyDescent="0.25">
      <c r="A28" s="2" t="s">
        <v>280</v>
      </c>
    </row>
    <row r="29" spans="1:1" x14ac:dyDescent="0.25">
      <c r="A29" s="2" t="s">
        <v>249</v>
      </c>
    </row>
    <row r="30" spans="1:1" x14ac:dyDescent="0.25">
      <c r="A30" s="2" t="s">
        <v>245</v>
      </c>
    </row>
    <row r="31" spans="1:1" x14ac:dyDescent="0.25">
      <c r="A31" s="2" t="s">
        <v>180</v>
      </c>
    </row>
    <row r="32" spans="1:1" x14ac:dyDescent="0.25">
      <c r="A32" s="2" t="s">
        <v>181</v>
      </c>
    </row>
    <row r="33" spans="1:1" x14ac:dyDescent="0.25">
      <c r="A33" s="2" t="s">
        <v>182</v>
      </c>
    </row>
    <row r="34" spans="1:1" x14ac:dyDescent="0.25">
      <c r="A34" s="2" t="s">
        <v>240</v>
      </c>
    </row>
    <row r="35" spans="1:1" x14ac:dyDescent="0.25">
      <c r="A35" s="2" t="s">
        <v>261</v>
      </c>
    </row>
    <row r="36" spans="1:1" x14ac:dyDescent="0.25">
      <c r="A36" s="2" t="s">
        <v>241</v>
      </c>
    </row>
    <row r="37" spans="1:1" x14ac:dyDescent="0.25">
      <c r="A37" s="2" t="s">
        <v>242</v>
      </c>
    </row>
    <row r="38" spans="1:1" x14ac:dyDescent="0.25">
      <c r="A38" s="2" t="s">
        <v>239</v>
      </c>
    </row>
    <row r="39" spans="1:1" x14ac:dyDescent="0.25">
      <c r="A39" s="2" t="s">
        <v>243</v>
      </c>
    </row>
    <row r="40" spans="1:1" x14ac:dyDescent="0.25">
      <c r="A40" s="2" t="s">
        <v>177</v>
      </c>
    </row>
    <row r="41" spans="1:1" x14ac:dyDescent="0.25">
      <c r="A41" s="2" t="s">
        <v>272</v>
      </c>
    </row>
    <row r="42" spans="1:1" x14ac:dyDescent="0.25">
      <c r="A42" s="2" t="s">
        <v>244</v>
      </c>
    </row>
    <row r="43" spans="1:1" x14ac:dyDescent="0.25">
      <c r="A43" s="2" t="s">
        <v>178</v>
      </c>
    </row>
    <row r="44" spans="1:1" x14ac:dyDescent="0.25">
      <c r="A44" s="2" t="s">
        <v>179</v>
      </c>
    </row>
    <row r="45" spans="1:1" x14ac:dyDescent="0.25">
      <c r="A45" s="2" t="s">
        <v>283</v>
      </c>
    </row>
    <row r="46" spans="1:1" x14ac:dyDescent="0.25">
      <c r="A46" s="2" t="s">
        <v>281</v>
      </c>
    </row>
    <row r="47" spans="1:1" x14ac:dyDescent="0.25">
      <c r="A47" s="2" t="s">
        <v>176</v>
      </c>
    </row>
    <row r="48" spans="1:1" x14ac:dyDescent="0.25">
      <c r="A48" s="2" t="s">
        <v>158</v>
      </c>
    </row>
    <row r="49" spans="1:1" x14ac:dyDescent="0.25">
      <c r="A49" s="2" t="s">
        <v>156</v>
      </c>
    </row>
    <row r="50" spans="1:1" x14ac:dyDescent="0.25">
      <c r="A50" s="2" t="s">
        <v>264</v>
      </c>
    </row>
    <row r="51" spans="1:1" x14ac:dyDescent="0.25">
      <c r="A51" s="2" t="s">
        <v>157</v>
      </c>
    </row>
    <row r="52" spans="1:1" x14ac:dyDescent="0.25">
      <c r="A52" s="2" t="s">
        <v>155</v>
      </c>
    </row>
    <row r="53" spans="1:1" x14ac:dyDescent="0.25">
      <c r="A53" s="2" t="s">
        <v>251</v>
      </c>
    </row>
    <row r="54" spans="1:1" x14ac:dyDescent="0.25">
      <c r="A54" s="2" t="s">
        <v>188</v>
      </c>
    </row>
    <row r="55" spans="1:1" x14ac:dyDescent="0.25">
      <c r="A55" s="2" t="s">
        <v>187</v>
      </c>
    </row>
    <row r="56" spans="1:1" x14ac:dyDescent="0.25">
      <c r="A56" s="2" t="s">
        <v>161</v>
      </c>
    </row>
    <row r="57" spans="1:1" x14ac:dyDescent="0.25">
      <c r="A57" s="2" t="s">
        <v>266</v>
      </c>
    </row>
    <row r="58" spans="1:1" x14ac:dyDescent="0.25">
      <c r="A58" s="2" t="s">
        <v>284</v>
      </c>
    </row>
    <row r="59" spans="1:1" x14ac:dyDescent="0.25">
      <c r="A59" s="2" t="s">
        <v>257</v>
      </c>
    </row>
    <row r="60" spans="1:1" x14ac:dyDescent="0.25">
      <c r="A60" s="2" t="s">
        <v>162</v>
      </c>
    </row>
    <row r="61" spans="1:1" x14ac:dyDescent="0.25">
      <c r="A61" s="2" t="s">
        <v>262</v>
      </c>
    </row>
    <row r="62" spans="1:1" x14ac:dyDescent="0.25">
      <c r="A62" s="2" t="s">
        <v>259</v>
      </c>
    </row>
    <row r="63" spans="1:1" x14ac:dyDescent="0.25">
      <c r="A63" s="2" t="s">
        <v>282</v>
      </c>
    </row>
    <row r="64" spans="1:1" x14ac:dyDescent="0.25">
      <c r="A64" s="2" t="s">
        <v>263</v>
      </c>
    </row>
    <row r="65" spans="1:1" x14ac:dyDescent="0.25">
      <c r="A65" s="2" t="s">
        <v>279</v>
      </c>
    </row>
    <row r="66" spans="1:1" x14ac:dyDescent="0.25">
      <c r="A66" s="2" t="s">
        <v>254</v>
      </c>
    </row>
    <row r="67" spans="1:1" x14ac:dyDescent="0.25">
      <c r="A67" s="2" t="s">
        <v>185</v>
      </c>
    </row>
    <row r="68" spans="1:1" x14ac:dyDescent="0.25">
      <c r="A68" s="2" t="s">
        <v>186</v>
      </c>
    </row>
    <row r="69" spans="1:1" x14ac:dyDescent="0.25">
      <c r="A69" s="2" t="s">
        <v>268</v>
      </c>
    </row>
    <row r="70" spans="1:1" x14ac:dyDescent="0.25">
      <c r="A70" s="2" t="s">
        <v>269</v>
      </c>
    </row>
    <row r="71" spans="1:1" x14ac:dyDescent="0.25">
      <c r="A71" s="2" t="s">
        <v>276</v>
      </c>
    </row>
    <row r="72" spans="1:1" x14ac:dyDescent="0.25">
      <c r="A72" s="2" t="s">
        <v>247</v>
      </c>
    </row>
    <row r="73" spans="1:1" x14ac:dyDescent="0.25">
      <c r="A73" s="2" t="s">
        <v>228</v>
      </c>
    </row>
    <row r="74" spans="1:1" x14ac:dyDescent="0.25">
      <c r="A74" s="2" t="s">
        <v>275</v>
      </c>
    </row>
    <row r="75" spans="1:1" x14ac:dyDescent="0.25">
      <c r="A75" s="2" t="s">
        <v>229</v>
      </c>
    </row>
    <row r="76" spans="1:1" x14ac:dyDescent="0.25">
      <c r="A76" s="2" t="s">
        <v>230</v>
      </c>
    </row>
    <row r="77" spans="1:1" x14ac:dyDescent="0.25">
      <c r="A77" s="2" t="s">
        <v>190</v>
      </c>
    </row>
    <row r="78" spans="1:1" x14ac:dyDescent="0.25">
      <c r="A78" s="2" t="s">
        <v>189</v>
      </c>
    </row>
    <row r="79" spans="1:1" x14ac:dyDescent="0.25">
      <c r="A79" s="2" t="s">
        <v>197</v>
      </c>
    </row>
    <row r="80" spans="1:1" x14ac:dyDescent="0.25">
      <c r="A80" s="2" t="s">
        <v>199</v>
      </c>
    </row>
    <row r="81" spans="1:1" x14ac:dyDescent="0.25">
      <c r="A81" s="2" t="s">
        <v>198</v>
      </c>
    </row>
    <row r="82" spans="1:1" x14ac:dyDescent="0.25">
      <c r="A82" s="2" t="s">
        <v>205</v>
      </c>
    </row>
    <row r="83" spans="1:1" x14ac:dyDescent="0.25">
      <c r="A83" s="2" t="s">
        <v>204</v>
      </c>
    </row>
    <row r="84" spans="1:1" x14ac:dyDescent="0.25">
      <c r="A84" s="2" t="s">
        <v>256</v>
      </c>
    </row>
    <row r="85" spans="1:1" x14ac:dyDescent="0.25">
      <c r="A85" s="2" t="s">
        <v>206</v>
      </c>
    </row>
    <row r="86" spans="1:1" x14ac:dyDescent="0.25">
      <c r="A86" s="2" t="s">
        <v>203</v>
      </c>
    </row>
    <row r="87" spans="1:1" x14ac:dyDescent="0.25">
      <c r="A87" s="2" t="s">
        <v>277</v>
      </c>
    </row>
    <row r="88" spans="1:1" x14ac:dyDescent="0.25">
      <c r="A88" s="2" t="s">
        <v>212</v>
      </c>
    </row>
    <row r="89" spans="1:1" x14ac:dyDescent="0.25">
      <c r="A89" s="2" t="s">
        <v>210</v>
      </c>
    </row>
    <row r="90" spans="1:1" x14ac:dyDescent="0.25">
      <c r="A90" s="2" t="s">
        <v>211</v>
      </c>
    </row>
    <row r="91" spans="1:1" x14ac:dyDescent="0.25">
      <c r="A91" s="2" t="s">
        <v>250</v>
      </c>
    </row>
    <row r="92" spans="1:1" x14ac:dyDescent="0.25">
      <c r="A92" s="2" t="s">
        <v>220</v>
      </c>
    </row>
    <row r="93" spans="1:1" x14ac:dyDescent="0.25">
      <c r="A93" s="2" t="s">
        <v>217</v>
      </c>
    </row>
    <row r="94" spans="1:1" x14ac:dyDescent="0.25">
      <c r="A94" s="2" t="s">
        <v>218</v>
      </c>
    </row>
    <row r="95" spans="1:1" x14ac:dyDescent="0.25">
      <c r="A95" s="2" t="s">
        <v>219</v>
      </c>
    </row>
    <row r="96" spans="1:1" x14ac:dyDescent="0.25">
      <c r="A96" s="2" t="s">
        <v>225</v>
      </c>
    </row>
    <row r="97" spans="1:1" x14ac:dyDescent="0.25">
      <c r="A97" s="2" t="s">
        <v>285</v>
      </c>
    </row>
    <row r="98" spans="1:1" x14ac:dyDescent="0.25">
      <c r="A98" s="2" t="s">
        <v>226</v>
      </c>
    </row>
    <row r="99" spans="1:1" x14ac:dyDescent="0.25">
      <c r="A99" s="2" t="s">
        <v>227</v>
      </c>
    </row>
    <row r="100" spans="1:1" x14ac:dyDescent="0.25">
      <c r="A100" s="2" t="s">
        <v>253</v>
      </c>
    </row>
    <row r="101" spans="1:1" x14ac:dyDescent="0.25">
      <c r="A101" s="2" t="s">
        <v>193</v>
      </c>
    </row>
    <row r="102" spans="1:1" x14ac:dyDescent="0.25">
      <c r="A102" s="2" t="s">
        <v>191</v>
      </c>
    </row>
    <row r="103" spans="1:1" x14ac:dyDescent="0.25">
      <c r="A103" s="2" t="s">
        <v>286</v>
      </c>
    </row>
    <row r="104" spans="1:1" x14ac:dyDescent="0.25">
      <c r="A104" s="2" t="s">
        <v>258</v>
      </c>
    </row>
    <row r="105" spans="1:1" x14ac:dyDescent="0.25">
      <c r="A105" s="2" t="s">
        <v>192</v>
      </c>
    </row>
    <row r="106" spans="1:1" x14ac:dyDescent="0.25">
      <c r="A106" s="2" t="s">
        <v>183</v>
      </c>
    </row>
    <row r="107" spans="1:1" x14ac:dyDescent="0.25">
      <c r="A107" s="2" t="s">
        <v>184</v>
      </c>
    </row>
    <row r="108" spans="1:1" x14ac:dyDescent="0.25">
      <c r="A108" s="2" t="s">
        <v>238</v>
      </c>
    </row>
    <row r="109" spans="1:1" x14ac:dyDescent="0.25">
      <c r="A109" s="2" t="s">
        <v>237</v>
      </c>
    </row>
    <row r="110" spans="1:1" x14ac:dyDescent="0.25">
      <c r="A110" s="2" t="s">
        <v>196</v>
      </c>
    </row>
    <row r="111" spans="1:1" x14ac:dyDescent="0.25">
      <c r="A111" s="2" t="s">
        <v>195</v>
      </c>
    </row>
    <row r="112" spans="1:1" x14ac:dyDescent="0.25">
      <c r="A112" s="2" t="s">
        <v>194</v>
      </c>
    </row>
    <row r="113" spans="1:1" x14ac:dyDescent="0.25">
      <c r="A113" s="2" t="s">
        <v>236</v>
      </c>
    </row>
    <row r="114" spans="1:1" x14ac:dyDescent="0.25">
      <c r="A114" s="2" t="s">
        <v>235</v>
      </c>
    </row>
    <row r="115" spans="1:1" x14ac:dyDescent="0.25">
      <c r="A115" s="2" t="s">
        <v>164</v>
      </c>
    </row>
    <row r="116" spans="1:1" x14ac:dyDescent="0.25">
      <c r="A116" s="2" t="s">
        <v>273</v>
      </c>
    </row>
    <row r="117" spans="1:1" x14ac:dyDescent="0.25">
      <c r="A117" s="2" t="s">
        <v>270</v>
      </c>
    </row>
    <row r="118" spans="1:1" x14ac:dyDescent="0.25">
      <c r="A118" s="2" t="s">
        <v>163</v>
      </c>
    </row>
    <row r="119" spans="1:1" x14ac:dyDescent="0.25">
      <c r="A119" s="2" t="s">
        <v>224</v>
      </c>
    </row>
    <row r="120" spans="1:1" x14ac:dyDescent="0.25">
      <c r="A120" s="2" t="s">
        <v>221</v>
      </c>
    </row>
    <row r="121" spans="1:1" x14ac:dyDescent="0.25">
      <c r="A121" s="2" t="s">
        <v>222</v>
      </c>
    </row>
    <row r="122" spans="1:1" x14ac:dyDescent="0.25">
      <c r="A122" s="2" t="s">
        <v>223</v>
      </c>
    </row>
    <row r="123" spans="1:1" x14ac:dyDescent="0.25">
      <c r="A123" s="2" t="s">
        <v>208</v>
      </c>
    </row>
    <row r="124" spans="1:1" x14ac:dyDescent="0.25">
      <c r="A124" s="2" t="s">
        <v>207</v>
      </c>
    </row>
    <row r="125" spans="1:1" x14ac:dyDescent="0.25">
      <c r="A125" s="2" t="s">
        <v>209</v>
      </c>
    </row>
    <row r="126" spans="1:1" x14ac:dyDescent="0.25">
      <c r="A126" s="2" t="s">
        <v>169</v>
      </c>
    </row>
    <row r="127" spans="1:1" x14ac:dyDescent="0.25">
      <c r="A127" s="2" t="s">
        <v>170</v>
      </c>
    </row>
    <row r="128" spans="1:1" x14ac:dyDescent="0.25">
      <c r="A128" s="2" t="s">
        <v>165</v>
      </c>
    </row>
    <row r="129" spans="1:1" x14ac:dyDescent="0.25">
      <c r="A129" s="2" t="s">
        <v>168</v>
      </c>
    </row>
    <row r="130" spans="1:1" x14ac:dyDescent="0.25">
      <c r="A130" s="2" t="s">
        <v>166</v>
      </c>
    </row>
    <row r="131" spans="1:1" x14ac:dyDescent="0.25">
      <c r="A131" s="2" t="s">
        <v>167</v>
      </c>
    </row>
    <row r="132" spans="1:1" x14ac:dyDescent="0.25">
      <c r="A132" s="2" t="s">
        <v>159</v>
      </c>
    </row>
    <row r="133" spans="1:1" x14ac:dyDescent="0.25">
      <c r="A133" s="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Processing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McDonough</dc:creator>
  <cp:lastModifiedBy>Daniel McDonough</cp:lastModifiedBy>
  <dcterms:created xsi:type="dcterms:W3CDTF">2025-07-14T22:37:24Z</dcterms:created>
  <dcterms:modified xsi:type="dcterms:W3CDTF">2025-07-14T23:03:29Z</dcterms:modified>
</cp:coreProperties>
</file>